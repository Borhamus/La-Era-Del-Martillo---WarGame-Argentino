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5"/>
    <sheet state="visible" name="Sistema" sheetId="2" r:id="rId6"/>
    <sheet state="visible" name="Hoja 3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<sst xmlns="http://schemas.openxmlformats.org/spreadsheetml/2006/main" count="247" uniqueCount="105">
  <si>
    <t>Puntos de Accion</t>
  </si>
  <si>
    <t>PA</t>
  </si>
  <si>
    <t>Costo</t>
  </si>
  <si>
    <t>Stats</t>
  </si>
  <si>
    <t>Costos</t>
  </si>
  <si>
    <t>+3</t>
  </si>
  <si>
    <t>+4</t>
  </si>
  <si>
    <t>+5</t>
  </si>
  <si>
    <t>+7</t>
  </si>
  <si>
    <t>Movilidad</t>
  </si>
  <si>
    <t>Puntos de Reaccion</t>
  </si>
  <si>
    <t>Vida</t>
  </si>
  <si>
    <t>PR</t>
  </si>
  <si>
    <t>Daño</t>
  </si>
  <si>
    <t>Def Fis</t>
  </si>
  <si>
    <t>Def Mag</t>
  </si>
  <si>
    <t>Voluntad</t>
  </si>
  <si>
    <t>+2</t>
  </si>
  <si>
    <t>Bloqueo</t>
  </si>
  <si>
    <t>SE</t>
  </si>
  <si>
    <t>Muy baja</t>
  </si>
  <si>
    <t>Baja</t>
  </si>
  <si>
    <t>Estandar</t>
  </si>
  <si>
    <t>Estand Superior</t>
  </si>
  <si>
    <t>media</t>
  </si>
  <si>
    <t>alta</t>
  </si>
  <si>
    <t>muy alta</t>
  </si>
  <si>
    <t>SH</t>
  </si>
  <si>
    <t>Puntos de Vida</t>
  </si>
  <si>
    <t>Costo Total =</t>
  </si>
  <si>
    <t>Bajo</t>
  </si>
  <si>
    <t>Normal</t>
  </si>
  <si>
    <t>Norm Sup.</t>
  </si>
  <si>
    <t>Fuerte</t>
  </si>
  <si>
    <t>Fuerte Sup.</t>
  </si>
  <si>
    <t>Grandioso</t>
  </si>
  <si>
    <t>1/8 de 100</t>
  </si>
  <si>
    <t>2/8 de 100</t>
  </si>
  <si>
    <t>3/8 de 100</t>
  </si>
  <si>
    <t>4/8 de 100</t>
  </si>
  <si>
    <t>5/8 de 100</t>
  </si>
  <si>
    <t>6/8 de 100</t>
  </si>
  <si>
    <t>Defensa Fisica</t>
  </si>
  <si>
    <t>Daño entrante</t>
  </si>
  <si>
    <t>1 a 4</t>
  </si>
  <si>
    <t>5 a 10</t>
  </si>
  <si>
    <t>11 a 15</t>
  </si>
  <si>
    <t>16 a 20</t>
  </si>
  <si>
    <t>21 a 30</t>
  </si>
  <si>
    <t>Defensa Magica</t>
  </si>
  <si>
    <t>1d12</t>
  </si>
  <si>
    <t>+1</t>
  </si>
  <si>
    <t>+6</t>
  </si>
  <si>
    <t>Slots Equipo</t>
  </si>
  <si>
    <t>Cantidad</t>
  </si>
  <si>
    <t>+10</t>
  </si>
  <si>
    <t>+15</t>
  </si>
  <si>
    <t>Slots Habilidades</t>
  </si>
  <si>
    <t>5cm</t>
  </si>
  <si>
    <t>8cm</t>
  </si>
  <si>
    <t>10cm</t>
  </si>
  <si>
    <t>15cm</t>
  </si>
  <si>
    <t>18cm</t>
  </si>
  <si>
    <t>20cm</t>
  </si>
  <si>
    <t>1D12</t>
  </si>
  <si>
    <t>2D12</t>
  </si>
  <si>
    <t xml:space="preserve"> x 1D4</t>
  </si>
  <si>
    <t>2d4</t>
  </si>
  <si>
    <t>⚔️ Armas Cuerpo a Cuerpo (Físicas)</t>
  </si>
  <si>
    <t>Nombre</t>
  </si>
  <si>
    <t>Presición</t>
  </si>
  <si>
    <t>Tipo</t>
  </si>
  <si>
    <t>Distancia</t>
  </si>
  <si>
    <t>Daño Base</t>
  </si>
  <si>
    <t>Tabla de Daño adicional {1d12}</t>
  </si>
  <si>
    <t>Daño Min</t>
  </si>
  <si>
    <t>Daño Max</t>
  </si>
  <si>
    <t>Efecto especial</t>
  </si>
  <si>
    <t>Garras del Dios Arbol</t>
  </si>
  <si>
    <t>Físico</t>
  </si>
  <si>
    <t>2cm</t>
  </si>
  <si>
    <r>
      <rPr>
        <rFont val="Arial"/>
        <color theme="1"/>
      </rPr>
      <t xml:space="preserve">{1-4: </t>
    </r>
    <r>
      <rPr>
        <rFont val="Arial"/>
        <b/>
        <color theme="1"/>
      </rPr>
      <t>+1d4</t>
    </r>
    <r>
      <rPr>
        <rFont val="Arial"/>
        <color theme="1"/>
      </rPr>
      <t>}{5-8:</t>
    </r>
    <r>
      <rPr>
        <rFont val="Arial"/>
        <b/>
        <color theme="1"/>
      </rPr>
      <t>+2d4</t>
    </r>
    <r>
      <rPr>
        <rFont val="Arial"/>
        <color theme="1"/>
      </rPr>
      <t>}{9-12:</t>
    </r>
    <r>
      <rPr>
        <rFont val="Arial"/>
        <b/>
        <color theme="1"/>
      </rPr>
      <t>+3d4</t>
    </r>
    <r>
      <rPr>
        <rFont val="Arial"/>
        <color theme="1"/>
      </rPr>
      <t>}</t>
    </r>
  </si>
  <si>
    <r>
      <rPr>
        <rFont val="Arial"/>
        <b/>
        <color theme="1"/>
      </rPr>
      <t>Frenzy</t>
    </r>
    <r>
      <rPr>
        <rFont val="Arial"/>
        <color theme="1"/>
      </rPr>
      <t xml:space="preserve">: "Tira 1d12: ||1-8: Nada|| 9-11: Ataca dos veces (x2 al daño)|| 12: Ataca tres veces(x3 al daño)". Esta habilidad solo se puede usar 1 sola vez en la partida. Se elige </t>
    </r>
    <r>
      <rPr>
        <rFont val="Arial"/>
        <b/>
        <color theme="1"/>
      </rPr>
      <t xml:space="preserve">Antes </t>
    </r>
    <r>
      <rPr>
        <rFont val="Arial"/>
        <color theme="1"/>
      </rPr>
      <t>de tirar por el daño.</t>
    </r>
  </si>
  <si>
    <t>Espada del Dios Arbol</t>
  </si>
  <si>
    <t>3cm</t>
  </si>
  <si>
    <r>
      <rPr>
        <rFont val="Arial"/>
        <color theme="1"/>
      </rPr>
      <t xml:space="preserve">{1-4: </t>
    </r>
    <r>
      <rPr>
        <rFont val="Arial"/>
        <b/>
        <color theme="1"/>
      </rPr>
      <t>+0</t>
    </r>
    <r>
      <rPr>
        <rFont val="Arial"/>
        <color theme="1"/>
      </rPr>
      <t>}{5-8:</t>
    </r>
    <r>
      <rPr>
        <rFont val="Arial"/>
        <b/>
        <color theme="1"/>
      </rPr>
      <t>+1d6</t>
    </r>
    <r>
      <rPr>
        <rFont val="Arial"/>
        <color theme="1"/>
      </rPr>
      <t>}{9-12:</t>
    </r>
    <r>
      <rPr>
        <rFont val="Arial"/>
        <b/>
        <color theme="1"/>
      </rPr>
      <t>+2d6</t>
    </r>
    <r>
      <rPr>
        <rFont val="Arial"/>
        <color theme="1"/>
      </rPr>
      <t>}</t>
    </r>
  </si>
  <si>
    <r>
      <rPr>
        <rFont val="Arial"/>
        <b/>
        <color theme="1"/>
      </rPr>
      <t>Frenzy</t>
    </r>
    <r>
      <rPr>
        <rFont val="Arial"/>
        <color theme="1"/>
      </rPr>
      <t xml:space="preserve">: "Tira 1d12: ||1-8: Nada|| 9-11: Ataca dos veces (x2 al daño)|| 12: Ataca tres veces(x3 al daño)". Esta habilidad solo se puede usar 1 sola vez en la partida. Se elige </t>
    </r>
    <r>
      <rPr>
        <rFont val="Arial"/>
        <b/>
        <color theme="1"/>
      </rPr>
      <t xml:space="preserve">Antes </t>
    </r>
    <r>
      <rPr>
        <rFont val="Arial"/>
        <color theme="1"/>
      </rPr>
      <t>de tirar por el daño.</t>
    </r>
  </si>
  <si>
    <t>Maza del Dios Arbol</t>
  </si>
  <si>
    <t>4cm</t>
  </si>
  <si>
    <r>
      <rPr>
        <rFont val="Arial"/>
        <color theme="1"/>
      </rPr>
      <t xml:space="preserve">{1-4: </t>
    </r>
    <r>
      <rPr>
        <rFont val="Arial"/>
        <b/>
        <color theme="1"/>
      </rPr>
      <t>+0</t>
    </r>
    <r>
      <rPr>
        <rFont val="Arial"/>
        <color theme="1"/>
      </rPr>
      <t>}{5-8:</t>
    </r>
    <r>
      <rPr>
        <rFont val="Arial"/>
        <b/>
        <color theme="1"/>
      </rPr>
      <t>+1d10</t>
    </r>
    <r>
      <rPr>
        <rFont val="Arial"/>
        <color theme="1"/>
      </rPr>
      <t>}{9-12:</t>
    </r>
    <r>
      <rPr>
        <rFont val="Arial"/>
        <b/>
        <color theme="1"/>
      </rPr>
      <t>+2d10</t>
    </r>
    <r>
      <rPr>
        <rFont val="Arial"/>
        <color theme="1"/>
      </rPr>
      <t>}</t>
    </r>
  </si>
  <si>
    <r>
      <rPr>
        <rFont val="Arial"/>
        <b/>
        <color theme="1"/>
      </rPr>
      <t>Frenzy</t>
    </r>
    <r>
      <rPr>
        <rFont val="Arial"/>
        <color theme="1"/>
      </rPr>
      <t xml:space="preserve">: "Tira 1d12: ||1-11: Nada|| 12: Ataca dos veces(x2 al daño)". Esta habilidad solo se puede usar 1 sola vez en la partida. Se elige </t>
    </r>
    <r>
      <rPr>
        <rFont val="Arial"/>
        <b/>
        <color theme="1"/>
      </rPr>
      <t>Antes</t>
    </r>
    <r>
      <rPr>
        <rFont val="Arial"/>
        <color theme="1"/>
      </rPr>
      <t xml:space="preserve"> de tirar por el daño.</t>
    </r>
  </si>
  <si>
    <t>Espadas: Vren’Thur y Zhal’Aak, gemelas de obsidiana negra, capaces de cortar tejidos mágicos.</t>
  </si>
  <si>
    <t>Dagas: Krrith y Vöx, forjadas con colmillos de aberraciones y grabadas con glifos de absorción de energía.</t>
  </si>
  <si>
    <t>Vren’Thur &amp; Zhal’Aak</t>
  </si>
  <si>
    <t>Fisico</t>
  </si>
  <si>
    <r>
      <rPr>
        <rFont val="Arial"/>
        <color theme="1"/>
      </rPr>
      <t xml:space="preserve">{1-9: </t>
    </r>
    <r>
      <rPr>
        <rFont val="Arial"/>
        <b/>
        <color theme="1"/>
      </rPr>
      <t>+0</t>
    </r>
    <r>
      <rPr>
        <rFont val="Arial"/>
        <color theme="1"/>
      </rPr>
      <t>}{10-11:</t>
    </r>
    <r>
      <rPr>
        <rFont val="Arial"/>
        <b/>
        <color theme="1"/>
      </rPr>
      <t>+2d12</t>
    </r>
    <r>
      <rPr>
        <rFont val="Arial"/>
        <color theme="1"/>
      </rPr>
      <t>}{12:</t>
    </r>
    <r>
      <rPr>
        <rFont val="Arial"/>
        <b/>
        <color theme="1"/>
      </rPr>
      <t>+3d12</t>
    </r>
    <r>
      <rPr>
        <rFont val="Arial"/>
        <color theme="1"/>
      </rPr>
      <t>}</t>
    </r>
  </si>
  <si>
    <r>
      <rPr>
        <rFont val="Arial"/>
        <b/>
        <color theme="1"/>
      </rPr>
      <t>Enredadera de sombras:</t>
    </r>
    <r>
      <rPr>
        <rFont val="Arial"/>
        <color theme="1"/>
      </rPr>
      <t xml:space="preserve"> Puedes usar esta habilidad </t>
    </r>
    <r>
      <rPr>
        <rFont val="Arial"/>
        <b/>
        <color theme="1"/>
      </rPr>
      <t>1 vez por partida</t>
    </r>
    <r>
      <rPr>
        <rFont val="Arial"/>
        <color theme="1"/>
      </rPr>
      <t xml:space="preserve">. Puedes activar esta habidad al golpear efectivamente a un enemigo, al activarlo puedes tirar </t>
    </r>
    <r>
      <rPr>
        <rFont val="Arial"/>
        <b/>
        <color theme="1"/>
      </rPr>
      <t>1d12+4</t>
    </r>
    <r>
      <rPr>
        <rFont val="Arial"/>
        <color theme="1"/>
      </rPr>
      <t xml:space="preserve"> Vs una tirada de Voluntad(1d12+Voluntad). Si </t>
    </r>
    <r>
      <rPr>
        <rFont val="Arial"/>
        <b/>
        <color theme="1"/>
      </rPr>
      <t xml:space="preserve">ganas </t>
    </r>
    <r>
      <rPr>
        <rFont val="Arial"/>
        <color theme="1"/>
      </rPr>
      <t xml:space="preserve">la tirada, el enemigo </t>
    </r>
    <r>
      <rPr>
        <rFont val="Arial"/>
        <b/>
        <color theme="1"/>
      </rPr>
      <t>quedara sin movilidad por el resto de la ronda</t>
    </r>
    <r>
      <rPr>
        <rFont val="Arial"/>
        <color theme="1"/>
      </rPr>
      <t xml:space="preserve">. Si </t>
    </r>
    <r>
      <rPr>
        <rFont val="Arial"/>
        <b/>
        <color theme="1"/>
      </rPr>
      <t xml:space="preserve">pierdes </t>
    </r>
    <r>
      <rPr>
        <rFont val="Arial"/>
        <color theme="1"/>
      </rPr>
      <t xml:space="preserve">la tirada, </t>
    </r>
    <r>
      <rPr>
        <rFont val="Arial"/>
        <b/>
        <color theme="1"/>
      </rPr>
      <t>su velocidad será reducida a la mitad por el resto de la ronda</t>
    </r>
    <r>
      <rPr>
        <rFont val="Arial"/>
        <color theme="1"/>
      </rPr>
      <t>.</t>
    </r>
  </si>
  <si>
    <t>Krrith &amp; Vöx</t>
  </si>
  <si>
    <t>Magico</t>
  </si>
  <si>
    <r>
      <rPr>
        <rFont val="Arial"/>
        <color theme="1"/>
      </rPr>
      <t xml:space="preserve">{1-9: </t>
    </r>
    <r>
      <rPr>
        <rFont val="Arial"/>
        <b/>
        <color theme="1"/>
      </rPr>
      <t>+0</t>
    </r>
    <r>
      <rPr>
        <rFont val="Arial"/>
        <color theme="1"/>
      </rPr>
      <t>}{10-11:</t>
    </r>
    <r>
      <rPr>
        <rFont val="Arial"/>
        <b/>
        <color theme="1"/>
      </rPr>
      <t>+1d8</t>
    </r>
    <r>
      <rPr>
        <rFont val="Arial"/>
        <color theme="1"/>
      </rPr>
      <t>}{12:</t>
    </r>
    <r>
      <rPr>
        <rFont val="Arial"/>
        <b/>
        <color theme="1"/>
      </rPr>
      <t>+2d8</t>
    </r>
    <r>
      <rPr>
        <rFont val="Arial"/>
        <color theme="1"/>
      </rPr>
      <t>}</t>
    </r>
  </si>
  <si>
    <r>
      <rPr>
        <rFont val="Arial"/>
        <b/>
        <color theme="1"/>
      </rPr>
      <t>Envenenamiento Oscuro:</t>
    </r>
    <r>
      <rPr>
        <rFont val="Arial"/>
        <color theme="1"/>
      </rPr>
      <t xml:space="preserve"> Puedes usar esta habilidad 3 veces por partida. Puedes activar esta habidad al golpear efectivamente a un enemigo, al activarlo puedes tirar </t>
    </r>
    <r>
      <rPr>
        <rFont val="Arial"/>
        <b/>
        <color theme="1"/>
      </rPr>
      <t>1d12+2</t>
    </r>
    <r>
      <rPr>
        <rFont val="Arial"/>
        <color theme="1"/>
      </rPr>
      <t xml:space="preserve"> Vs una tirada de Voluntad(1d12+Voluntad). Si ganas la tirada, el enemigo queda "</t>
    </r>
    <r>
      <rPr>
        <rFont val="Arial"/>
        <b/>
        <color theme="1"/>
      </rPr>
      <t>Envenenado</t>
    </r>
    <r>
      <rPr>
        <rFont val="Arial"/>
        <color theme="1"/>
      </rPr>
      <t>"(Al estar envenenado al final de cada turno, pierde 10 puntos de vida por stacks de envenenamiento. Los stacks de venenos se pueden apilar hasta 10).</t>
    </r>
  </si>
  <si>
    <r>
      <rPr>
        <rFont val="Arial"/>
        <color theme="1"/>
      </rPr>
      <t xml:space="preserve">{1-9: </t>
    </r>
    <r>
      <rPr>
        <rFont val="Arial"/>
        <b/>
        <color theme="1"/>
      </rPr>
      <t>+0</t>
    </r>
    <r>
      <rPr>
        <rFont val="Arial"/>
        <color theme="1"/>
      </rPr>
      <t>}{10-11:</t>
    </r>
    <r>
      <rPr>
        <rFont val="Arial"/>
        <b/>
        <color theme="1"/>
      </rPr>
      <t>+2d12</t>
    </r>
    <r>
      <rPr>
        <rFont val="Arial"/>
        <color theme="1"/>
      </rPr>
      <t>}{12:</t>
    </r>
    <r>
      <rPr>
        <rFont val="Arial"/>
        <b/>
        <color theme="1"/>
      </rPr>
      <t>+3d12</t>
    </r>
    <r>
      <rPr>
        <rFont val="Arial"/>
        <color theme="1"/>
      </rPr>
      <t>}</t>
    </r>
  </si>
  <si>
    <r>
      <rPr>
        <rFont val="Arial"/>
        <b/>
        <color theme="1"/>
      </rPr>
      <t>Enredadera de sombras:</t>
    </r>
    <r>
      <rPr>
        <rFont val="Arial"/>
        <color theme="1"/>
      </rPr>
      <t xml:space="preserve"> Puedes usar esta habilidad </t>
    </r>
    <r>
      <rPr>
        <rFont val="Arial"/>
        <b/>
        <color theme="1"/>
      </rPr>
      <t>1 vez por partida</t>
    </r>
    <r>
      <rPr>
        <rFont val="Arial"/>
        <color theme="1"/>
      </rPr>
      <t xml:space="preserve">. Puedes activar esta habidad al golpear efectivamente a un enemigo, al activarlo puedes tirar </t>
    </r>
    <r>
      <rPr>
        <rFont val="Arial"/>
        <b/>
        <color theme="1"/>
      </rPr>
      <t>1d12+4</t>
    </r>
    <r>
      <rPr>
        <rFont val="Arial"/>
        <color theme="1"/>
      </rPr>
      <t xml:space="preserve"> Vs una tirada de Voluntad(1d12+Voluntad). Si </t>
    </r>
    <r>
      <rPr>
        <rFont val="Arial"/>
        <b/>
        <color theme="1"/>
      </rPr>
      <t xml:space="preserve">ganas </t>
    </r>
    <r>
      <rPr>
        <rFont val="Arial"/>
        <color theme="1"/>
      </rPr>
      <t xml:space="preserve">la tirada, el enemigo </t>
    </r>
    <r>
      <rPr>
        <rFont val="Arial"/>
        <b/>
        <color theme="1"/>
      </rPr>
      <t>quedara sin movilidad por el resto de la ronda</t>
    </r>
    <r>
      <rPr>
        <rFont val="Arial"/>
        <color theme="1"/>
      </rPr>
      <t xml:space="preserve">. Si </t>
    </r>
    <r>
      <rPr>
        <rFont val="Arial"/>
        <b/>
        <color theme="1"/>
      </rPr>
      <t xml:space="preserve">pierdes </t>
    </r>
    <r>
      <rPr>
        <rFont val="Arial"/>
        <color theme="1"/>
      </rPr>
      <t xml:space="preserve">la tirada, </t>
    </r>
    <r>
      <rPr>
        <rFont val="Arial"/>
        <b/>
        <color theme="1"/>
      </rPr>
      <t>su velocidad será reducida a la mitad por el resto de la ronda</t>
    </r>
    <r>
      <rPr>
        <rFont val="Arial"/>
        <color theme="1"/>
      </rPr>
      <t>.</t>
    </r>
  </si>
  <si>
    <r>
      <rPr>
        <rFont val="Arial"/>
        <color theme="1"/>
      </rPr>
      <t xml:space="preserve">{1-9: </t>
    </r>
    <r>
      <rPr>
        <rFont val="Arial"/>
        <b/>
        <color theme="1"/>
      </rPr>
      <t>+0</t>
    </r>
    <r>
      <rPr>
        <rFont val="Arial"/>
        <color theme="1"/>
      </rPr>
      <t>}{10-11:</t>
    </r>
    <r>
      <rPr>
        <rFont val="Arial"/>
        <b/>
        <color theme="1"/>
      </rPr>
      <t>+1d8</t>
    </r>
    <r>
      <rPr>
        <rFont val="Arial"/>
        <color theme="1"/>
      </rPr>
      <t>}{12:</t>
    </r>
    <r>
      <rPr>
        <rFont val="Arial"/>
        <b/>
        <color theme="1"/>
      </rPr>
      <t>+2d8</t>
    </r>
    <r>
      <rPr>
        <rFont val="Arial"/>
        <color theme="1"/>
      </rPr>
      <t>}</t>
    </r>
  </si>
  <si>
    <r>
      <rPr>
        <rFont val="Arial"/>
        <b/>
        <color theme="1"/>
      </rPr>
      <t>Envenenamiento Oscuro:</t>
    </r>
    <r>
      <rPr>
        <rFont val="Arial"/>
        <color theme="1"/>
      </rPr>
      <t xml:space="preserve"> Puedes usar esta habilidad 3 veces por partida. Puedes activar esta habidad al golpear efectivamente a un enemigo, al activarlo puedes tirar </t>
    </r>
    <r>
      <rPr>
        <rFont val="Arial"/>
        <b/>
        <color theme="1"/>
      </rPr>
      <t>1d12+2</t>
    </r>
    <r>
      <rPr>
        <rFont val="Arial"/>
        <color theme="1"/>
      </rPr>
      <t xml:space="preserve"> Vs una tirada de Voluntad(1d12+Voluntad). Si ganas la tirada, el enemigo queda "</t>
    </r>
    <r>
      <rPr>
        <rFont val="Arial"/>
        <b/>
        <color theme="1"/>
      </rPr>
      <t>Envenenado</t>
    </r>
    <r>
      <rPr>
        <rFont val="Arial"/>
        <color theme="1"/>
      </rPr>
      <t>"(Al estar envenenado al final de cada turno, pierde 10 puntos de vida por stacks de envenenamiento. Los stacks de venenos se pueden apilar hasta 10).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</si>
</sst>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9" fillId="0" fontId="2" numFmtId="0" xfId="0" applyBorder="1" applyFont="1"/>
    <xf borderId="10" fillId="0" fontId="3" numFmtId="0" xfId="0" applyAlignment="1" applyBorder="1" applyFont="1">
      <alignment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quotePrefix="1" borderId="11" fillId="0" fontId="1" numFmtId="0" xfId="0" applyAlignment="1" applyBorder="1" applyFont="1">
      <alignment horizontal="center" readingOrder="0"/>
    </xf>
    <xf quotePrefix="1" borderId="13" fillId="0" fontId="1" numFmtId="0" xfId="0" applyAlignment="1" applyBorder="1" applyFont="1">
      <alignment horizontal="center" readingOrder="0"/>
    </xf>
    <xf quotePrefix="1" borderId="1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8" fillId="2" fontId="1" numFmtId="0" xfId="0" applyAlignment="1" applyBorder="1" applyFont="1">
      <alignment horizontal="center" readingOrder="0"/>
    </xf>
    <xf borderId="10" fillId="0" fontId="2" numFmtId="0" xfId="0" applyBorder="1" applyFont="1"/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3" fillId="0" fontId="1" numFmtId="0" xfId="0" applyAlignment="1" applyBorder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15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 readingOrder="0"/>
    </xf>
    <xf borderId="15" fillId="2" fontId="5" numFmtId="0" xfId="0" applyAlignment="1" applyBorder="1" applyFont="1">
      <alignment horizontal="center" readingOrder="0"/>
    </xf>
    <xf borderId="12" fillId="3" fontId="3" numFmtId="0" xfId="0" applyAlignment="1" applyBorder="1" applyFill="1" applyFont="1">
      <alignment readingOrder="0"/>
    </xf>
    <xf borderId="13" fillId="3" fontId="1" numFmtId="0" xfId="0" applyBorder="1" applyFont="1"/>
    <xf borderId="14" fillId="3" fontId="6" numFmtId="0" xfId="0" applyAlignment="1" applyBorder="1" applyFont="1">
      <alignment horizontal="center"/>
    </xf>
    <xf borderId="1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quotePrefix="1" borderId="5" fillId="0" fontId="1" numFmtId="0" xfId="0" applyAlignment="1" applyBorder="1" applyFont="1">
      <alignment horizontal="center" readingOrder="0"/>
    </xf>
    <xf quotePrefix="1" borderId="6" fillId="0" fontId="1" numFmtId="0" xfId="0" applyAlignment="1" applyBorder="1" applyFont="1">
      <alignment horizontal="center" readingOrder="0"/>
    </xf>
    <xf quotePrefix="1" borderId="7" fillId="0" fontId="1" numFmtId="0" xfId="0" applyAlignment="1" applyBorder="1" applyFont="1">
      <alignment horizontal="center" readingOrder="0"/>
    </xf>
    <xf quotePrefix="1" borderId="12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quotePrefix="1" borderId="12" fillId="0" fontId="3" numFmtId="0" xfId="0" applyAlignment="1" applyBorder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2" fillId="0" fontId="3" numFmtId="0" xfId="0" applyAlignment="1" applyBorder="1" applyFont="1">
      <alignment horizontal="center" readingOrder="0"/>
    </xf>
    <xf quotePrefix="1"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right" readingOrder="0" vertical="center"/>
    </xf>
    <xf quotePrefix="1"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quotePrefix="1"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9.75"/>
    <col customWidth="1" min="4" max="4" width="8.38"/>
    <col customWidth="1" min="5" max="5" width="8.88"/>
    <col customWidth="1" min="6" max="6" width="11.88"/>
    <col customWidth="1" min="7" max="7" width="9.38"/>
    <col customWidth="1" min="8" max="8" width="9.13"/>
    <col customWidth="1" min="9" max="9" width="8.38"/>
    <col customWidth="1" min="11" max="11" width="16.5"/>
    <col customWidth="1" min="12" max="12" width="4.0"/>
    <col customWidth="1" min="13" max="13" width="7.63"/>
  </cols>
  <sheetData>
    <row r="2">
      <c r="B2" s="1" t="s">
        <v>0</v>
      </c>
      <c r="C2" s="2"/>
      <c r="D2" s="2"/>
      <c r="E2" s="2"/>
      <c r="F2" s="2"/>
      <c r="G2" s="3"/>
      <c r="H2" s="4"/>
    </row>
    <row r="3">
      <c r="B3" s="5" t="s">
        <v>1</v>
      </c>
      <c r="C3" s="6">
        <v>1.0</v>
      </c>
      <c r="D3" s="7">
        <v>2.0</v>
      </c>
      <c r="E3" s="4">
        <v>3.0</v>
      </c>
      <c r="F3" s="7">
        <v>4.0</v>
      </c>
      <c r="G3" s="8">
        <v>5.0</v>
      </c>
      <c r="H3" s="4"/>
    </row>
    <row r="4">
      <c r="B4" s="7" t="s">
        <v>2</v>
      </c>
      <c r="C4" s="6">
        <v>1.0</v>
      </c>
      <c r="D4" s="7">
        <v>4.0</v>
      </c>
      <c r="E4" s="4">
        <v>8.0</v>
      </c>
      <c r="F4" s="7">
        <v>13.0</v>
      </c>
      <c r="G4" s="8">
        <v>20.0</v>
      </c>
      <c r="H4" s="4"/>
      <c r="K4" s="9" t="s">
        <v>3</v>
      </c>
      <c r="L4" s="10"/>
      <c r="M4" s="11" t="s">
        <v>4</v>
      </c>
    </row>
    <row r="5">
      <c r="B5" s="12"/>
      <c r="C5" s="13">
        <v>1.0</v>
      </c>
      <c r="D5" s="14" t="s">
        <v>5</v>
      </c>
      <c r="E5" s="15" t="s">
        <v>6</v>
      </c>
      <c r="F5" s="14" t="s">
        <v>7</v>
      </c>
      <c r="G5" s="16" t="s">
        <v>8</v>
      </c>
      <c r="H5" s="4"/>
      <c r="K5" s="17" t="s">
        <v>9</v>
      </c>
      <c r="L5" s="4">
        <v>10.0</v>
      </c>
      <c r="M5" s="8">
        <v>5.0</v>
      </c>
    </row>
    <row r="6">
      <c r="H6" s="4"/>
      <c r="K6" s="17" t="s">
        <v>0</v>
      </c>
      <c r="L6" s="4">
        <v>2.0</v>
      </c>
      <c r="M6" s="8">
        <v>3.0</v>
      </c>
    </row>
    <row r="7">
      <c r="K7" s="17" t="s">
        <v>10</v>
      </c>
      <c r="L7" s="4">
        <v>2.0</v>
      </c>
      <c r="M7" s="8">
        <v>3.0</v>
      </c>
    </row>
    <row r="8">
      <c r="B8" s="18" t="s">
        <v>10</v>
      </c>
      <c r="C8" s="10"/>
      <c r="D8" s="10"/>
      <c r="E8" s="10"/>
      <c r="F8" s="10"/>
      <c r="G8" s="19"/>
      <c r="H8" s="20"/>
      <c r="K8" s="17" t="s">
        <v>11</v>
      </c>
      <c r="L8" s="4">
        <v>100.0</v>
      </c>
      <c r="M8" s="8">
        <v>5.0</v>
      </c>
    </row>
    <row r="9">
      <c r="B9" s="6" t="s">
        <v>12</v>
      </c>
      <c r="C9" s="4">
        <v>1.0</v>
      </c>
      <c r="D9" s="4">
        <v>2.0</v>
      </c>
      <c r="E9" s="4">
        <v>3.0</v>
      </c>
      <c r="F9" s="4">
        <v>4.0</v>
      </c>
      <c r="G9" s="8">
        <v>5.0</v>
      </c>
      <c r="H9" s="21"/>
      <c r="K9" s="17" t="s">
        <v>13</v>
      </c>
      <c r="L9" s="4"/>
      <c r="M9" s="8"/>
    </row>
    <row r="10">
      <c r="B10" s="6" t="s">
        <v>2</v>
      </c>
      <c r="C10" s="4">
        <v>1.0</v>
      </c>
      <c r="D10" s="4">
        <v>4.0</v>
      </c>
      <c r="E10" s="4">
        <v>8.0</v>
      </c>
      <c r="F10" s="4">
        <v>13.0</v>
      </c>
      <c r="G10" s="8">
        <v>20.0</v>
      </c>
      <c r="H10" s="21"/>
      <c r="K10" s="17" t="s">
        <v>14</v>
      </c>
      <c r="L10" s="4">
        <v>5.0</v>
      </c>
      <c r="M10" s="8">
        <v>5.0</v>
      </c>
    </row>
    <row r="11">
      <c r="B11" s="13"/>
      <c r="C11" s="22">
        <v>1.0</v>
      </c>
      <c r="D11" s="15" t="s">
        <v>5</v>
      </c>
      <c r="E11" s="15" t="s">
        <v>6</v>
      </c>
      <c r="F11" s="15" t="s">
        <v>7</v>
      </c>
      <c r="G11" s="16" t="s">
        <v>8</v>
      </c>
      <c r="H11" s="21"/>
      <c r="K11" s="17" t="s">
        <v>15</v>
      </c>
      <c r="L11" s="4">
        <v>3.0</v>
      </c>
      <c r="M11" s="8">
        <v>3.0</v>
      </c>
    </row>
    <row r="12">
      <c r="H12" s="21"/>
      <c r="K12" s="17" t="s">
        <v>16</v>
      </c>
      <c r="L12" s="23" t="s">
        <v>17</v>
      </c>
      <c r="M12" s="8">
        <v>5.0</v>
      </c>
    </row>
    <row r="13">
      <c r="K13" s="17" t="s">
        <v>18</v>
      </c>
      <c r="L13" s="23" t="s">
        <v>17</v>
      </c>
      <c r="M13" s="8">
        <v>5.0</v>
      </c>
    </row>
    <row r="14">
      <c r="B14" s="1" t="s">
        <v>11</v>
      </c>
      <c r="C14" s="2"/>
      <c r="D14" s="2"/>
      <c r="E14" s="2"/>
      <c r="F14" s="2"/>
      <c r="G14" s="2"/>
      <c r="H14" s="2"/>
      <c r="I14" s="3"/>
      <c r="K14" s="17" t="s">
        <v>19</v>
      </c>
      <c r="L14" s="4">
        <v>2.0</v>
      </c>
      <c r="M14" s="8">
        <v>5.0</v>
      </c>
    </row>
    <row r="15">
      <c r="B15" s="24"/>
      <c r="C15" s="25" t="s">
        <v>20</v>
      </c>
      <c r="D15" s="25" t="s">
        <v>21</v>
      </c>
      <c r="E15" s="25" t="s">
        <v>22</v>
      </c>
      <c r="F15" s="26" t="s">
        <v>23</v>
      </c>
      <c r="G15" s="25" t="s">
        <v>24</v>
      </c>
      <c r="H15" s="25" t="s">
        <v>25</v>
      </c>
      <c r="I15" s="25" t="s">
        <v>26</v>
      </c>
      <c r="K15" s="17" t="s">
        <v>27</v>
      </c>
      <c r="L15" s="4">
        <v>2.0</v>
      </c>
      <c r="M15" s="8">
        <v>5.0</v>
      </c>
    </row>
    <row r="16">
      <c r="B16" s="5" t="s">
        <v>28</v>
      </c>
      <c r="C16" s="6">
        <v>50.0</v>
      </c>
      <c r="D16" s="7">
        <v>75.0</v>
      </c>
      <c r="E16" s="4">
        <v>100.0</v>
      </c>
      <c r="F16" s="7">
        <v>125.0</v>
      </c>
      <c r="G16" s="4">
        <v>150.0</v>
      </c>
      <c r="H16" s="7">
        <v>175.0</v>
      </c>
      <c r="I16" s="8">
        <v>200.0</v>
      </c>
      <c r="K16" s="27" t="s">
        <v>29</v>
      </c>
      <c r="L16" s="28"/>
      <c r="M16" s="29">
        <f>SUM(M5:M15)</f>
        <v>44</v>
      </c>
    </row>
    <row r="17">
      <c r="B17" s="12" t="s">
        <v>2</v>
      </c>
      <c r="C17" s="13">
        <v>1.0</v>
      </c>
      <c r="D17" s="12">
        <v>3.0</v>
      </c>
      <c r="E17" s="22">
        <v>5.0</v>
      </c>
      <c r="F17" s="12">
        <v>7.0</v>
      </c>
      <c r="G17" s="22">
        <v>10.0</v>
      </c>
      <c r="H17" s="12">
        <v>15.0</v>
      </c>
      <c r="I17" s="30">
        <v>20.0</v>
      </c>
    </row>
    <row r="18">
      <c r="B18" s="4"/>
      <c r="C18" s="4"/>
      <c r="D18" s="4"/>
      <c r="E18" s="4"/>
      <c r="F18" s="4"/>
      <c r="G18" s="4"/>
      <c r="H18" s="4"/>
      <c r="I18" s="4"/>
    </row>
    <row r="19">
      <c r="B19" s="31"/>
      <c r="C19" s="31"/>
      <c r="D19" s="31"/>
      <c r="E19" s="31"/>
      <c r="F19" s="31"/>
      <c r="G19" s="31"/>
      <c r="H19" s="31"/>
      <c r="I19" s="31"/>
    </row>
    <row r="20">
      <c r="B20" s="1" t="s">
        <v>13</v>
      </c>
      <c r="C20" s="2"/>
      <c r="D20" s="2"/>
      <c r="E20" s="2"/>
      <c r="F20" s="2"/>
      <c r="G20" s="2"/>
      <c r="H20" s="3"/>
      <c r="I20" s="4"/>
    </row>
    <row r="21">
      <c r="B21" s="25"/>
      <c r="C21" s="25" t="s">
        <v>30</v>
      </c>
      <c r="D21" s="25" t="s">
        <v>31</v>
      </c>
      <c r="E21" s="25" t="s">
        <v>32</v>
      </c>
      <c r="F21" s="26" t="s">
        <v>33</v>
      </c>
      <c r="G21" s="25" t="s">
        <v>34</v>
      </c>
      <c r="H21" s="25" t="s">
        <v>35</v>
      </c>
      <c r="I21" s="4"/>
    </row>
    <row r="22">
      <c r="B22" s="5">
        <v>100.0</v>
      </c>
      <c r="C22" s="6" t="s">
        <v>36</v>
      </c>
      <c r="D22" s="7" t="s">
        <v>37</v>
      </c>
      <c r="E22" s="4" t="s">
        <v>38</v>
      </c>
      <c r="F22" s="7" t="s">
        <v>39</v>
      </c>
      <c r="G22" s="4" t="s">
        <v>40</v>
      </c>
      <c r="H22" s="7" t="s">
        <v>41</v>
      </c>
      <c r="I22" s="4"/>
    </row>
    <row r="23">
      <c r="B23" s="7" t="s">
        <v>13</v>
      </c>
      <c r="C23" s="6">
        <f>1/8*100</f>
        <v>12.5</v>
      </c>
      <c r="D23" s="7">
        <f>(2/8)*100</f>
        <v>25</v>
      </c>
      <c r="E23" s="4">
        <f>(3/8)*100</f>
        <v>37.5</v>
      </c>
      <c r="F23" s="7">
        <f>(4/8)*100</f>
        <v>50</v>
      </c>
      <c r="G23" s="4">
        <f>(5/8)*100</f>
        <v>62.5</v>
      </c>
      <c r="H23" s="7">
        <f>(6/8)*100</f>
        <v>75</v>
      </c>
      <c r="I23" s="4"/>
    </row>
    <row r="24">
      <c r="B24" s="12" t="s">
        <v>2</v>
      </c>
      <c r="C24" s="13">
        <v>1.0</v>
      </c>
      <c r="D24" s="12">
        <v>3.0</v>
      </c>
      <c r="E24" s="22">
        <v>5.0</v>
      </c>
      <c r="F24" s="12">
        <v>7.0</v>
      </c>
      <c r="G24" s="22">
        <v>10.0</v>
      </c>
      <c r="H24" s="12">
        <v>15.0</v>
      </c>
      <c r="I24" s="4"/>
    </row>
    <row r="27">
      <c r="B27" s="1" t="s">
        <v>42</v>
      </c>
      <c r="C27" s="2"/>
      <c r="D27" s="2"/>
      <c r="E27" s="2"/>
      <c r="F27" s="2"/>
      <c r="G27" s="2"/>
      <c r="H27" s="3"/>
    </row>
    <row r="28">
      <c r="B28" s="25" t="s">
        <v>43</v>
      </c>
      <c r="C28" s="25" t="s">
        <v>30</v>
      </c>
      <c r="D28" s="25" t="s">
        <v>31</v>
      </c>
      <c r="E28" s="25" t="s">
        <v>32</v>
      </c>
      <c r="F28" s="26" t="s">
        <v>33</v>
      </c>
      <c r="G28" s="25" t="s">
        <v>34</v>
      </c>
      <c r="H28" s="25" t="s">
        <v>35</v>
      </c>
    </row>
    <row r="29">
      <c r="B29" s="5">
        <v>100.0</v>
      </c>
      <c r="C29" s="6">
        <v>0.0</v>
      </c>
      <c r="D29" s="7" t="s">
        <v>44</v>
      </c>
      <c r="E29" s="4" t="s">
        <v>45</v>
      </c>
      <c r="F29" s="7" t="s">
        <v>46</v>
      </c>
      <c r="G29" s="4" t="s">
        <v>47</v>
      </c>
      <c r="H29" s="7" t="s">
        <v>48</v>
      </c>
    </row>
    <row r="30">
      <c r="B30" s="12" t="s">
        <v>2</v>
      </c>
      <c r="C30" s="13">
        <v>0.0</v>
      </c>
      <c r="D30" s="12">
        <v>3.0</v>
      </c>
      <c r="E30" s="22">
        <v>5.0</v>
      </c>
      <c r="F30" s="12">
        <v>7.0</v>
      </c>
      <c r="G30" s="22">
        <v>10.0</v>
      </c>
      <c r="H30" s="12">
        <v>15.0</v>
      </c>
    </row>
    <row r="32">
      <c r="B32" s="1" t="s">
        <v>49</v>
      </c>
      <c r="C32" s="2"/>
      <c r="D32" s="2"/>
      <c r="E32" s="2"/>
      <c r="F32" s="2"/>
      <c r="G32" s="2"/>
      <c r="H32" s="3"/>
    </row>
    <row r="33">
      <c r="B33" s="25" t="s">
        <v>43</v>
      </c>
      <c r="C33" s="25" t="s">
        <v>30</v>
      </c>
      <c r="D33" s="25" t="s">
        <v>31</v>
      </c>
      <c r="E33" s="25" t="s">
        <v>32</v>
      </c>
      <c r="F33" s="26" t="s">
        <v>33</v>
      </c>
      <c r="G33" s="25" t="s">
        <v>34</v>
      </c>
      <c r="H33" s="25" t="s">
        <v>35</v>
      </c>
    </row>
    <row r="34">
      <c r="B34" s="5">
        <v>100.0</v>
      </c>
      <c r="C34" s="6">
        <v>0.0</v>
      </c>
      <c r="D34" s="7" t="s">
        <v>44</v>
      </c>
      <c r="E34" s="4" t="s">
        <v>45</v>
      </c>
      <c r="F34" s="7" t="s">
        <v>46</v>
      </c>
      <c r="G34" s="4" t="s">
        <v>47</v>
      </c>
      <c r="H34" s="7" t="s">
        <v>48</v>
      </c>
    </row>
    <row r="35">
      <c r="B35" s="12" t="s">
        <v>2</v>
      </c>
      <c r="C35" s="13">
        <v>0.0</v>
      </c>
      <c r="D35" s="12">
        <v>3.0</v>
      </c>
      <c r="E35" s="22">
        <v>5.0</v>
      </c>
      <c r="F35" s="12">
        <v>7.0</v>
      </c>
      <c r="G35" s="22">
        <v>10.0</v>
      </c>
      <c r="H35" s="12">
        <v>15.0</v>
      </c>
    </row>
    <row r="36">
      <c r="I36" s="4"/>
    </row>
    <row r="37">
      <c r="I37" s="4"/>
    </row>
    <row r="38">
      <c r="B38" s="18" t="s">
        <v>16</v>
      </c>
      <c r="C38" s="10"/>
      <c r="D38" s="10"/>
      <c r="E38" s="10"/>
      <c r="F38" s="10"/>
      <c r="G38" s="10"/>
      <c r="H38" s="10"/>
      <c r="I38" s="19"/>
    </row>
    <row r="39">
      <c r="B39" s="25"/>
      <c r="C39" s="25" t="s">
        <v>20</v>
      </c>
      <c r="D39" s="25" t="s">
        <v>30</v>
      </c>
      <c r="E39" s="25" t="s">
        <v>31</v>
      </c>
      <c r="F39" s="25" t="s">
        <v>32</v>
      </c>
      <c r="G39" s="26" t="s">
        <v>33</v>
      </c>
      <c r="H39" s="25" t="s">
        <v>34</v>
      </c>
      <c r="I39" s="25" t="s">
        <v>35</v>
      </c>
    </row>
    <row r="40">
      <c r="B40" s="5" t="s">
        <v>50</v>
      </c>
      <c r="C40" s="6">
        <v>0.0</v>
      </c>
      <c r="D40" s="32" t="s">
        <v>51</v>
      </c>
      <c r="E40" s="33" t="s">
        <v>17</v>
      </c>
      <c r="F40" s="23" t="s">
        <v>5</v>
      </c>
      <c r="G40" s="33" t="s">
        <v>6</v>
      </c>
      <c r="H40" s="34" t="s">
        <v>7</v>
      </c>
      <c r="I40" s="34" t="s">
        <v>52</v>
      </c>
    </row>
    <row r="41">
      <c r="B41" s="12" t="s">
        <v>2</v>
      </c>
      <c r="C41" s="13">
        <v>0.0</v>
      </c>
      <c r="D41" s="13">
        <v>3.0</v>
      </c>
      <c r="E41" s="12">
        <v>5.0</v>
      </c>
      <c r="F41" s="22">
        <v>7.0</v>
      </c>
      <c r="G41" s="12">
        <v>10.0</v>
      </c>
      <c r="H41" s="30">
        <v>15.0</v>
      </c>
      <c r="I41" s="30">
        <v>20.0</v>
      </c>
    </row>
    <row r="43">
      <c r="B43" s="18" t="s">
        <v>18</v>
      </c>
      <c r="C43" s="10"/>
      <c r="D43" s="10"/>
      <c r="E43" s="10"/>
      <c r="F43" s="10"/>
      <c r="G43" s="10"/>
      <c r="H43" s="10"/>
      <c r="I43" s="19"/>
    </row>
    <row r="44">
      <c r="B44" s="25"/>
      <c r="C44" s="25" t="s">
        <v>20</v>
      </c>
      <c r="D44" s="25" t="s">
        <v>30</v>
      </c>
      <c r="E44" s="25" t="s">
        <v>31</v>
      </c>
      <c r="F44" s="25" t="s">
        <v>32</v>
      </c>
      <c r="G44" s="26" t="s">
        <v>33</v>
      </c>
      <c r="H44" s="25" t="s">
        <v>34</v>
      </c>
      <c r="I44" s="25" t="s">
        <v>35</v>
      </c>
    </row>
    <row r="45">
      <c r="B45" s="5" t="s">
        <v>50</v>
      </c>
      <c r="C45" s="6">
        <v>0.0</v>
      </c>
      <c r="D45" s="32" t="s">
        <v>51</v>
      </c>
      <c r="E45" s="33" t="s">
        <v>17</v>
      </c>
      <c r="F45" s="23" t="s">
        <v>5</v>
      </c>
      <c r="G45" s="33" t="s">
        <v>6</v>
      </c>
      <c r="H45" s="34" t="s">
        <v>7</v>
      </c>
      <c r="I45" s="34" t="s">
        <v>52</v>
      </c>
    </row>
    <row r="46">
      <c r="B46" s="12" t="s">
        <v>2</v>
      </c>
      <c r="C46" s="13">
        <v>0.0</v>
      </c>
      <c r="D46" s="13">
        <v>3.0</v>
      </c>
      <c r="E46" s="12">
        <v>5.0</v>
      </c>
      <c r="F46" s="22">
        <v>7.0</v>
      </c>
      <c r="G46" s="12">
        <v>10.0</v>
      </c>
      <c r="H46" s="30">
        <v>15.0</v>
      </c>
      <c r="I46" s="30">
        <v>20.0</v>
      </c>
    </row>
    <row r="49">
      <c r="B49" s="18" t="s">
        <v>53</v>
      </c>
      <c r="C49" s="10"/>
      <c r="D49" s="10"/>
      <c r="E49" s="10"/>
      <c r="F49" s="10"/>
      <c r="G49" s="10"/>
      <c r="H49" s="19"/>
    </row>
    <row r="50">
      <c r="B50" s="25"/>
      <c r="C50" s="25" t="s">
        <v>20</v>
      </c>
      <c r="D50" s="25" t="s">
        <v>30</v>
      </c>
      <c r="E50" s="25" t="s">
        <v>31</v>
      </c>
      <c r="F50" s="25" t="s">
        <v>32</v>
      </c>
      <c r="G50" s="26" t="s">
        <v>33</v>
      </c>
      <c r="H50" s="25" t="s">
        <v>34</v>
      </c>
    </row>
    <row r="51">
      <c r="B51" s="5" t="s">
        <v>54</v>
      </c>
      <c r="C51" s="6">
        <v>0.0</v>
      </c>
      <c r="D51" s="6">
        <v>1.0</v>
      </c>
      <c r="E51" s="7">
        <v>2.0</v>
      </c>
      <c r="F51" s="4">
        <v>3.0</v>
      </c>
      <c r="G51" s="7">
        <v>4.0</v>
      </c>
      <c r="H51" s="8">
        <v>5.0</v>
      </c>
    </row>
    <row r="52">
      <c r="B52" s="12" t="s">
        <v>2</v>
      </c>
      <c r="C52" s="13">
        <v>0.0</v>
      </c>
      <c r="D52" s="35" t="s">
        <v>5</v>
      </c>
      <c r="E52" s="14" t="s">
        <v>7</v>
      </c>
      <c r="F52" s="15" t="s">
        <v>8</v>
      </c>
      <c r="G52" s="14" t="s">
        <v>55</v>
      </c>
      <c r="H52" s="16" t="s">
        <v>56</v>
      </c>
    </row>
    <row r="54">
      <c r="B54" s="18" t="s">
        <v>57</v>
      </c>
      <c r="C54" s="10"/>
      <c r="D54" s="10"/>
      <c r="E54" s="10"/>
      <c r="F54" s="10"/>
      <c r="G54" s="10"/>
      <c r="H54" s="19"/>
    </row>
    <row r="55">
      <c r="B55" s="25"/>
      <c r="C55" s="25" t="s">
        <v>20</v>
      </c>
      <c r="D55" s="25" t="s">
        <v>30</v>
      </c>
      <c r="E55" s="25" t="s">
        <v>31</v>
      </c>
      <c r="F55" s="25" t="s">
        <v>32</v>
      </c>
      <c r="G55" s="26" t="s">
        <v>33</v>
      </c>
      <c r="H55" s="25" t="s">
        <v>34</v>
      </c>
    </row>
    <row r="56">
      <c r="B56" s="5" t="s">
        <v>54</v>
      </c>
      <c r="C56" s="6">
        <v>0.0</v>
      </c>
      <c r="D56" s="6">
        <v>1.0</v>
      </c>
      <c r="E56" s="7">
        <v>2.0</v>
      </c>
      <c r="F56" s="4">
        <v>3.0</v>
      </c>
      <c r="G56" s="7">
        <v>4.0</v>
      </c>
      <c r="H56" s="8">
        <v>5.0</v>
      </c>
    </row>
    <row r="57">
      <c r="B57" s="12" t="s">
        <v>2</v>
      </c>
      <c r="C57" s="13">
        <v>0.0</v>
      </c>
      <c r="D57" s="35" t="s">
        <v>5</v>
      </c>
      <c r="E57" s="14" t="s">
        <v>7</v>
      </c>
      <c r="F57" s="15" t="s">
        <v>8</v>
      </c>
      <c r="G57" s="14" t="s">
        <v>55</v>
      </c>
      <c r="H57" s="16" t="s">
        <v>56</v>
      </c>
    </row>
    <row r="59">
      <c r="B59" s="18" t="s">
        <v>9</v>
      </c>
      <c r="C59" s="10"/>
      <c r="D59" s="10"/>
      <c r="E59" s="10"/>
      <c r="F59" s="10"/>
      <c r="G59" s="10"/>
      <c r="H59" s="19"/>
    </row>
    <row r="60">
      <c r="B60" s="25"/>
      <c r="C60" s="25" t="s">
        <v>20</v>
      </c>
      <c r="D60" s="25" t="s">
        <v>30</v>
      </c>
      <c r="E60" s="25" t="s">
        <v>31</v>
      </c>
      <c r="F60" s="25" t="s">
        <v>32</v>
      </c>
      <c r="G60" s="26" t="s">
        <v>33</v>
      </c>
      <c r="H60" s="25" t="s">
        <v>34</v>
      </c>
    </row>
    <row r="61">
      <c r="B61" s="5" t="s">
        <v>54</v>
      </c>
      <c r="C61" s="6" t="s">
        <v>58</v>
      </c>
      <c r="D61" s="6" t="s">
        <v>59</v>
      </c>
      <c r="E61" s="7" t="s">
        <v>60</v>
      </c>
      <c r="F61" s="4" t="s">
        <v>61</v>
      </c>
      <c r="G61" s="7" t="s">
        <v>62</v>
      </c>
      <c r="H61" s="8" t="s">
        <v>63</v>
      </c>
    </row>
    <row r="62">
      <c r="B62" s="12" t="s">
        <v>2</v>
      </c>
      <c r="C62" s="13">
        <v>0.0</v>
      </c>
      <c r="D62" s="35" t="s">
        <v>5</v>
      </c>
      <c r="E62" s="14" t="s">
        <v>7</v>
      </c>
      <c r="F62" s="15" t="s">
        <v>8</v>
      </c>
      <c r="G62" s="14" t="s">
        <v>55</v>
      </c>
      <c r="H62" s="16" t="s">
        <v>56</v>
      </c>
    </row>
  </sheetData>
  <mergeCells count="12">
    <mergeCell ref="B38:I38"/>
    <mergeCell ref="B43:I43"/>
    <mergeCell ref="B49:H49"/>
    <mergeCell ref="B54:H54"/>
    <mergeCell ref="B59:H59"/>
    <mergeCell ref="B2:G2"/>
    <mergeCell ref="K4:L4"/>
    <mergeCell ref="B8:G8"/>
    <mergeCell ref="B14:I14"/>
    <mergeCell ref="B20:H20"/>
    <mergeCell ref="B27:H27"/>
    <mergeCell ref="B32:H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15" width="3.75"/>
    <col customWidth="1" min="16" max="16" width="3.0"/>
    <col customWidth="1" min="17" max="29" width="4.75"/>
    <col customWidth="1" min="30" max="32" width="3.0"/>
  </cols>
  <sheetData>
    <row r="3">
      <c r="B3" s="36"/>
      <c r="C3" s="37" t="s">
        <v>64</v>
      </c>
      <c r="D3" s="9">
        <v>1.0</v>
      </c>
      <c r="E3" s="38">
        <v>2.0</v>
      </c>
      <c r="F3" s="38">
        <v>3.0</v>
      </c>
      <c r="G3" s="38">
        <v>4.0</v>
      </c>
      <c r="H3" s="9">
        <v>2.0</v>
      </c>
      <c r="I3" s="38">
        <v>3.0</v>
      </c>
      <c r="J3" s="38">
        <v>4.0</v>
      </c>
      <c r="K3" s="38">
        <v>5.0</v>
      </c>
      <c r="L3" s="38">
        <v>6.0</v>
      </c>
      <c r="M3" s="38">
        <v>7.0</v>
      </c>
      <c r="N3" s="38">
        <v>8.0</v>
      </c>
      <c r="O3" s="39">
        <v>9.0</v>
      </c>
      <c r="Q3" s="40" t="s">
        <v>65</v>
      </c>
      <c r="R3" s="41">
        <v>1.0</v>
      </c>
      <c r="S3" s="42">
        <v>2.0</v>
      </c>
      <c r="T3" s="42">
        <v>3.0</v>
      </c>
      <c r="U3" s="42">
        <v>4.0</v>
      </c>
      <c r="V3" s="41">
        <v>2.0</v>
      </c>
      <c r="W3" s="42">
        <v>3.0</v>
      </c>
      <c r="X3" s="42">
        <v>4.0</v>
      </c>
      <c r="Y3" s="42">
        <v>5.0</v>
      </c>
      <c r="Z3" s="42">
        <v>6.0</v>
      </c>
      <c r="AA3" s="42">
        <v>7.0</v>
      </c>
      <c r="AB3" s="42">
        <v>8.0</v>
      </c>
      <c r="AC3" s="43">
        <v>9.0</v>
      </c>
    </row>
    <row r="4">
      <c r="B4" s="36"/>
      <c r="C4" s="44"/>
      <c r="D4" s="45" t="s">
        <v>66</v>
      </c>
      <c r="E4" s="46"/>
      <c r="F4" s="46"/>
      <c r="G4" s="47"/>
      <c r="H4" s="48" t="s">
        <v>67</v>
      </c>
      <c r="I4" s="46"/>
      <c r="J4" s="46"/>
      <c r="K4" s="46"/>
      <c r="L4" s="46"/>
      <c r="M4" s="46"/>
      <c r="N4" s="46"/>
      <c r="O4" s="47"/>
      <c r="Q4" s="44"/>
      <c r="R4" s="49" t="s">
        <v>66</v>
      </c>
      <c r="S4" s="46"/>
      <c r="T4" s="46"/>
      <c r="U4" s="47"/>
      <c r="V4" s="50" t="s">
        <v>67</v>
      </c>
      <c r="W4" s="46"/>
      <c r="X4" s="46"/>
      <c r="Y4" s="46"/>
      <c r="Z4" s="46"/>
      <c r="AA4" s="46"/>
      <c r="AB4" s="46"/>
      <c r="AC4" s="47"/>
    </row>
    <row r="5">
      <c r="C5" s="6">
        <v>1.0</v>
      </c>
      <c r="D5" s="51">
        <f t="shared" ref="D5:D16" si="1">C5*D$3</f>
        <v>1</v>
      </c>
      <c r="E5" s="52">
        <f t="shared" ref="E5:E16" si="2">C5*E$3</f>
        <v>2</v>
      </c>
      <c r="F5" s="52">
        <f t="shared" ref="F5:F16" si="3">C5*F$3</f>
        <v>3</v>
      </c>
      <c r="G5" s="52">
        <f t="shared" ref="G5:G16" si="4">C5*G$3</f>
        <v>4</v>
      </c>
      <c r="H5" s="53">
        <f t="shared" ref="H5:H16" si="5">C5*H$3</f>
        <v>2</v>
      </c>
      <c r="I5" s="31">
        <f t="shared" ref="I5:I16" si="6">C5*I$3</f>
        <v>3</v>
      </c>
      <c r="J5" s="31">
        <f t="shared" ref="J5:J16" si="7">C5*J$3</f>
        <v>4</v>
      </c>
      <c r="K5" s="31">
        <f t="shared" ref="K5:K16" si="8">C5*K$3</f>
        <v>5</v>
      </c>
      <c r="L5" s="31">
        <f t="shared" ref="L5:L16" si="9">C5*L$3</f>
        <v>6</v>
      </c>
      <c r="M5" s="31">
        <f t="shared" ref="M5:M16" si="10">C5*M$3</f>
        <v>7</v>
      </c>
      <c r="N5" s="31">
        <f t="shared" ref="N5:N16" si="11">C5*N$3</f>
        <v>8</v>
      </c>
      <c r="O5" s="54">
        <f t="shared" ref="O5:O16" si="12">C5*O$3</f>
        <v>9</v>
      </c>
      <c r="Q5" s="55">
        <v>2.0</v>
      </c>
      <c r="R5" s="56">
        <f t="shared" ref="R5:R27" si="13">Q5*D$3</f>
        <v>2</v>
      </c>
      <c r="S5" s="56">
        <f t="shared" ref="S5:S27" si="14">Q5*E$3</f>
        <v>4</v>
      </c>
      <c r="T5" s="56">
        <f t="shared" ref="T5:T27" si="15">Q5*F$3</f>
        <v>6</v>
      </c>
      <c r="U5" s="57">
        <f t="shared" ref="U5:U27" si="16">Q5*G$3</f>
        <v>8</v>
      </c>
      <c r="V5" s="58">
        <f t="shared" ref="V5:V27" si="17">Q5*H$3</f>
        <v>4</v>
      </c>
      <c r="W5" s="56">
        <f t="shared" ref="W5:W27" si="18">Q5*I$3</f>
        <v>6</v>
      </c>
      <c r="X5" s="56">
        <f t="shared" ref="X5:X27" si="19">Q5*J$3</f>
        <v>8</v>
      </c>
      <c r="Y5" s="56">
        <f t="shared" ref="Y5:Y27" si="20">Q5*K$3</f>
        <v>10</v>
      </c>
      <c r="Z5" s="56">
        <f t="shared" ref="Z5:Z27" si="21">Q5*L$3</f>
        <v>12</v>
      </c>
      <c r="AA5" s="56">
        <f t="shared" ref="AA5:AA27" si="22">Q5*M$3</f>
        <v>14</v>
      </c>
      <c r="AB5" s="56">
        <f t="shared" ref="AB5:AB27" si="23">Q5*N$3</f>
        <v>16</v>
      </c>
      <c r="AC5" s="57">
        <f t="shared" ref="AC5:AC27" si="24">Q5*O$3</f>
        <v>18</v>
      </c>
    </row>
    <row r="6">
      <c r="C6" s="6">
        <v>2.0</v>
      </c>
      <c r="D6" s="53">
        <f t="shared" si="1"/>
        <v>2</v>
      </c>
      <c r="E6" s="31">
        <f t="shared" si="2"/>
        <v>4</v>
      </c>
      <c r="F6" s="31">
        <f t="shared" si="3"/>
        <v>6</v>
      </c>
      <c r="G6" s="31">
        <f t="shared" si="4"/>
        <v>8</v>
      </c>
      <c r="H6" s="53">
        <f t="shared" si="5"/>
        <v>4</v>
      </c>
      <c r="I6" s="31">
        <f t="shared" si="6"/>
        <v>6</v>
      </c>
      <c r="J6" s="31">
        <f t="shared" si="7"/>
        <v>8</v>
      </c>
      <c r="K6" s="31">
        <f t="shared" si="8"/>
        <v>10</v>
      </c>
      <c r="L6" s="31">
        <f t="shared" si="9"/>
        <v>12</v>
      </c>
      <c r="M6" s="31">
        <f t="shared" si="10"/>
        <v>14</v>
      </c>
      <c r="N6" s="31">
        <f t="shared" si="11"/>
        <v>16</v>
      </c>
      <c r="O6" s="54">
        <f t="shared" si="12"/>
        <v>18</v>
      </c>
      <c r="Q6" s="59">
        <v>3.0</v>
      </c>
      <c r="R6" s="60">
        <f t="shared" si="13"/>
        <v>3</v>
      </c>
      <c r="S6" s="60">
        <f t="shared" si="14"/>
        <v>6</v>
      </c>
      <c r="T6" s="60">
        <f t="shared" si="15"/>
        <v>9</v>
      </c>
      <c r="U6" s="61">
        <f t="shared" si="16"/>
        <v>12</v>
      </c>
      <c r="V6" s="62">
        <f t="shared" si="17"/>
        <v>6</v>
      </c>
      <c r="W6" s="60">
        <f t="shared" si="18"/>
        <v>9</v>
      </c>
      <c r="X6" s="60">
        <f t="shared" si="19"/>
        <v>12</v>
      </c>
      <c r="Y6" s="60">
        <f t="shared" si="20"/>
        <v>15</v>
      </c>
      <c r="Z6" s="60">
        <f t="shared" si="21"/>
        <v>18</v>
      </c>
      <c r="AA6" s="60">
        <f t="shared" si="22"/>
        <v>21</v>
      </c>
      <c r="AB6" s="60">
        <f t="shared" si="23"/>
        <v>24</v>
      </c>
      <c r="AC6" s="61">
        <f t="shared" si="24"/>
        <v>27</v>
      </c>
    </row>
    <row r="7">
      <c r="C7" s="6">
        <v>3.0</v>
      </c>
      <c r="D7" s="53">
        <f t="shared" si="1"/>
        <v>3</v>
      </c>
      <c r="E7" s="31">
        <f t="shared" si="2"/>
        <v>6</v>
      </c>
      <c r="F7" s="31">
        <f t="shared" si="3"/>
        <v>9</v>
      </c>
      <c r="G7" s="31">
        <f t="shared" si="4"/>
        <v>12</v>
      </c>
      <c r="H7" s="53">
        <f t="shared" si="5"/>
        <v>6</v>
      </c>
      <c r="I7" s="31">
        <f t="shared" si="6"/>
        <v>9</v>
      </c>
      <c r="J7" s="31">
        <f t="shared" si="7"/>
        <v>12</v>
      </c>
      <c r="K7" s="31">
        <f t="shared" si="8"/>
        <v>15</v>
      </c>
      <c r="L7" s="31">
        <f t="shared" si="9"/>
        <v>18</v>
      </c>
      <c r="M7" s="31">
        <f t="shared" si="10"/>
        <v>21</v>
      </c>
      <c r="N7" s="31">
        <f t="shared" si="11"/>
        <v>24</v>
      </c>
      <c r="O7" s="54">
        <f t="shared" si="12"/>
        <v>27</v>
      </c>
      <c r="Q7" s="59">
        <v>4.0</v>
      </c>
      <c r="R7" s="60">
        <f t="shared" si="13"/>
        <v>4</v>
      </c>
      <c r="S7" s="60">
        <f t="shared" si="14"/>
        <v>8</v>
      </c>
      <c r="T7" s="60">
        <f t="shared" si="15"/>
        <v>12</v>
      </c>
      <c r="U7" s="61">
        <f t="shared" si="16"/>
        <v>16</v>
      </c>
      <c r="V7" s="62">
        <f t="shared" si="17"/>
        <v>8</v>
      </c>
      <c r="W7" s="60">
        <f t="shared" si="18"/>
        <v>12</v>
      </c>
      <c r="X7" s="60">
        <f t="shared" si="19"/>
        <v>16</v>
      </c>
      <c r="Y7" s="60">
        <f t="shared" si="20"/>
        <v>20</v>
      </c>
      <c r="Z7" s="60">
        <f t="shared" si="21"/>
        <v>24</v>
      </c>
      <c r="AA7" s="60">
        <f t="shared" si="22"/>
        <v>28</v>
      </c>
      <c r="AB7" s="60">
        <f t="shared" si="23"/>
        <v>32</v>
      </c>
      <c r="AC7" s="61">
        <f t="shared" si="24"/>
        <v>36</v>
      </c>
    </row>
    <row r="8">
      <c r="C8" s="6">
        <v>4.0</v>
      </c>
      <c r="D8" s="53">
        <f t="shared" si="1"/>
        <v>4</v>
      </c>
      <c r="E8" s="31">
        <f t="shared" si="2"/>
        <v>8</v>
      </c>
      <c r="F8" s="31">
        <f t="shared" si="3"/>
        <v>12</v>
      </c>
      <c r="G8" s="31">
        <f t="shared" si="4"/>
        <v>16</v>
      </c>
      <c r="H8" s="53">
        <f t="shared" si="5"/>
        <v>8</v>
      </c>
      <c r="I8" s="31">
        <f t="shared" si="6"/>
        <v>12</v>
      </c>
      <c r="J8" s="31">
        <f t="shared" si="7"/>
        <v>16</v>
      </c>
      <c r="K8" s="31">
        <f t="shared" si="8"/>
        <v>20</v>
      </c>
      <c r="L8" s="31">
        <f t="shared" si="9"/>
        <v>24</v>
      </c>
      <c r="M8" s="31">
        <f t="shared" si="10"/>
        <v>28</v>
      </c>
      <c r="N8" s="31">
        <f t="shared" si="11"/>
        <v>32</v>
      </c>
      <c r="O8" s="54">
        <f t="shared" si="12"/>
        <v>36</v>
      </c>
      <c r="Q8" s="59">
        <v>5.0</v>
      </c>
      <c r="R8" s="60">
        <f t="shared" si="13"/>
        <v>5</v>
      </c>
      <c r="S8" s="60">
        <f t="shared" si="14"/>
        <v>10</v>
      </c>
      <c r="T8" s="60">
        <f t="shared" si="15"/>
        <v>15</v>
      </c>
      <c r="U8" s="61">
        <f t="shared" si="16"/>
        <v>20</v>
      </c>
      <c r="V8" s="62">
        <f t="shared" si="17"/>
        <v>10</v>
      </c>
      <c r="W8" s="60">
        <f t="shared" si="18"/>
        <v>15</v>
      </c>
      <c r="X8" s="60">
        <f t="shared" si="19"/>
        <v>20</v>
      </c>
      <c r="Y8" s="60">
        <f t="shared" si="20"/>
        <v>25</v>
      </c>
      <c r="Z8" s="60">
        <f t="shared" si="21"/>
        <v>30</v>
      </c>
      <c r="AA8" s="60">
        <f t="shared" si="22"/>
        <v>35</v>
      </c>
      <c r="AB8" s="60">
        <f t="shared" si="23"/>
        <v>40</v>
      </c>
      <c r="AC8" s="61">
        <f t="shared" si="24"/>
        <v>45</v>
      </c>
    </row>
    <row r="9">
      <c r="C9" s="6">
        <v>5.0</v>
      </c>
      <c r="D9" s="53">
        <f t="shared" si="1"/>
        <v>5</v>
      </c>
      <c r="E9" s="31">
        <f t="shared" si="2"/>
        <v>10</v>
      </c>
      <c r="F9" s="31">
        <f t="shared" si="3"/>
        <v>15</v>
      </c>
      <c r="G9" s="31">
        <f t="shared" si="4"/>
        <v>20</v>
      </c>
      <c r="H9" s="53">
        <f t="shared" si="5"/>
        <v>10</v>
      </c>
      <c r="I9" s="31">
        <f t="shared" si="6"/>
        <v>15</v>
      </c>
      <c r="J9" s="31">
        <f t="shared" si="7"/>
        <v>20</v>
      </c>
      <c r="K9" s="31">
        <f t="shared" si="8"/>
        <v>25</v>
      </c>
      <c r="L9" s="31">
        <f t="shared" si="9"/>
        <v>30</v>
      </c>
      <c r="M9" s="31">
        <f t="shared" si="10"/>
        <v>35</v>
      </c>
      <c r="N9" s="31">
        <f t="shared" si="11"/>
        <v>40</v>
      </c>
      <c r="O9" s="54">
        <f t="shared" si="12"/>
        <v>45</v>
      </c>
      <c r="Q9" s="59">
        <v>6.0</v>
      </c>
      <c r="R9" s="60">
        <f t="shared" si="13"/>
        <v>6</v>
      </c>
      <c r="S9" s="60">
        <f t="shared" si="14"/>
        <v>12</v>
      </c>
      <c r="T9" s="60">
        <f t="shared" si="15"/>
        <v>18</v>
      </c>
      <c r="U9" s="61">
        <f t="shared" si="16"/>
        <v>24</v>
      </c>
      <c r="V9" s="62">
        <f t="shared" si="17"/>
        <v>12</v>
      </c>
      <c r="W9" s="60">
        <f t="shared" si="18"/>
        <v>18</v>
      </c>
      <c r="X9" s="60">
        <f t="shared" si="19"/>
        <v>24</v>
      </c>
      <c r="Y9" s="60">
        <f t="shared" si="20"/>
        <v>30</v>
      </c>
      <c r="Z9" s="60">
        <f t="shared" si="21"/>
        <v>36</v>
      </c>
      <c r="AA9" s="60">
        <f t="shared" si="22"/>
        <v>42</v>
      </c>
      <c r="AB9" s="60">
        <f t="shared" si="23"/>
        <v>48</v>
      </c>
      <c r="AC9" s="61">
        <f t="shared" si="24"/>
        <v>54</v>
      </c>
    </row>
    <row r="10">
      <c r="C10" s="6">
        <v>6.0</v>
      </c>
      <c r="D10" s="53">
        <f t="shared" si="1"/>
        <v>6</v>
      </c>
      <c r="E10" s="31">
        <f t="shared" si="2"/>
        <v>12</v>
      </c>
      <c r="F10" s="31">
        <f t="shared" si="3"/>
        <v>18</v>
      </c>
      <c r="G10" s="31">
        <f t="shared" si="4"/>
        <v>24</v>
      </c>
      <c r="H10" s="53">
        <f t="shared" si="5"/>
        <v>12</v>
      </c>
      <c r="I10" s="31">
        <f t="shared" si="6"/>
        <v>18</v>
      </c>
      <c r="J10" s="31">
        <f t="shared" si="7"/>
        <v>24</v>
      </c>
      <c r="K10" s="31">
        <f t="shared" si="8"/>
        <v>30</v>
      </c>
      <c r="L10" s="31">
        <f t="shared" si="9"/>
        <v>36</v>
      </c>
      <c r="M10" s="31">
        <f t="shared" si="10"/>
        <v>42</v>
      </c>
      <c r="N10" s="31">
        <f t="shared" si="11"/>
        <v>48</v>
      </c>
      <c r="O10" s="54">
        <f t="shared" si="12"/>
        <v>54</v>
      </c>
      <c r="Q10" s="59">
        <v>7.0</v>
      </c>
      <c r="R10" s="60">
        <f t="shared" si="13"/>
        <v>7</v>
      </c>
      <c r="S10" s="60">
        <f t="shared" si="14"/>
        <v>14</v>
      </c>
      <c r="T10" s="60">
        <f t="shared" si="15"/>
        <v>21</v>
      </c>
      <c r="U10" s="61">
        <f t="shared" si="16"/>
        <v>28</v>
      </c>
      <c r="V10" s="62">
        <f t="shared" si="17"/>
        <v>14</v>
      </c>
      <c r="W10" s="60">
        <f t="shared" si="18"/>
        <v>21</v>
      </c>
      <c r="X10" s="60">
        <f t="shared" si="19"/>
        <v>28</v>
      </c>
      <c r="Y10" s="60">
        <f t="shared" si="20"/>
        <v>35</v>
      </c>
      <c r="Z10" s="60">
        <f t="shared" si="21"/>
        <v>42</v>
      </c>
      <c r="AA10" s="60">
        <f t="shared" si="22"/>
        <v>49</v>
      </c>
      <c r="AB10" s="60">
        <f t="shared" si="23"/>
        <v>56</v>
      </c>
      <c r="AC10" s="61">
        <f t="shared" si="24"/>
        <v>63</v>
      </c>
    </row>
    <row r="11">
      <c r="C11" s="6">
        <v>7.0</v>
      </c>
      <c r="D11" s="53">
        <f t="shared" si="1"/>
        <v>7</v>
      </c>
      <c r="E11" s="31">
        <f t="shared" si="2"/>
        <v>14</v>
      </c>
      <c r="F11" s="31">
        <f t="shared" si="3"/>
        <v>21</v>
      </c>
      <c r="G11" s="31">
        <f t="shared" si="4"/>
        <v>28</v>
      </c>
      <c r="H11" s="53">
        <f t="shared" si="5"/>
        <v>14</v>
      </c>
      <c r="I11" s="31">
        <f t="shared" si="6"/>
        <v>21</v>
      </c>
      <c r="J11" s="31">
        <f t="shared" si="7"/>
        <v>28</v>
      </c>
      <c r="K11" s="31">
        <f t="shared" si="8"/>
        <v>35</v>
      </c>
      <c r="L11" s="31">
        <f t="shared" si="9"/>
        <v>42</v>
      </c>
      <c r="M11" s="31">
        <f t="shared" si="10"/>
        <v>49</v>
      </c>
      <c r="N11" s="31">
        <f t="shared" si="11"/>
        <v>56</v>
      </c>
      <c r="O11" s="54">
        <f t="shared" si="12"/>
        <v>63</v>
      </c>
      <c r="Q11" s="59">
        <v>8.0</v>
      </c>
      <c r="R11" s="60">
        <f t="shared" si="13"/>
        <v>8</v>
      </c>
      <c r="S11" s="60">
        <f t="shared" si="14"/>
        <v>16</v>
      </c>
      <c r="T11" s="60">
        <f t="shared" si="15"/>
        <v>24</v>
      </c>
      <c r="U11" s="61">
        <f t="shared" si="16"/>
        <v>32</v>
      </c>
      <c r="V11" s="62">
        <f t="shared" si="17"/>
        <v>16</v>
      </c>
      <c r="W11" s="60">
        <f t="shared" si="18"/>
        <v>24</v>
      </c>
      <c r="X11" s="60">
        <f t="shared" si="19"/>
        <v>32</v>
      </c>
      <c r="Y11" s="60">
        <f t="shared" si="20"/>
        <v>40</v>
      </c>
      <c r="Z11" s="60">
        <f t="shared" si="21"/>
        <v>48</v>
      </c>
      <c r="AA11" s="60">
        <f t="shared" si="22"/>
        <v>56</v>
      </c>
      <c r="AB11" s="60">
        <f t="shared" si="23"/>
        <v>64</v>
      </c>
      <c r="AC11" s="61">
        <f t="shared" si="24"/>
        <v>72</v>
      </c>
    </row>
    <row r="12">
      <c r="C12" s="6">
        <v>8.0</v>
      </c>
      <c r="D12" s="53">
        <f t="shared" si="1"/>
        <v>8</v>
      </c>
      <c r="E12" s="31">
        <f t="shared" si="2"/>
        <v>16</v>
      </c>
      <c r="F12" s="31">
        <f t="shared" si="3"/>
        <v>24</v>
      </c>
      <c r="G12" s="31">
        <f t="shared" si="4"/>
        <v>32</v>
      </c>
      <c r="H12" s="53">
        <f t="shared" si="5"/>
        <v>16</v>
      </c>
      <c r="I12" s="31">
        <f t="shared" si="6"/>
        <v>24</v>
      </c>
      <c r="J12" s="31">
        <f t="shared" si="7"/>
        <v>32</v>
      </c>
      <c r="K12" s="31">
        <f t="shared" si="8"/>
        <v>40</v>
      </c>
      <c r="L12" s="31">
        <f t="shared" si="9"/>
        <v>48</v>
      </c>
      <c r="M12" s="31">
        <f t="shared" si="10"/>
        <v>56</v>
      </c>
      <c r="N12" s="31">
        <f t="shared" si="11"/>
        <v>64</v>
      </c>
      <c r="O12" s="54">
        <f t="shared" si="12"/>
        <v>72</v>
      </c>
      <c r="Q12" s="59">
        <v>9.0</v>
      </c>
      <c r="R12" s="60">
        <f t="shared" si="13"/>
        <v>9</v>
      </c>
      <c r="S12" s="60">
        <f t="shared" si="14"/>
        <v>18</v>
      </c>
      <c r="T12" s="60">
        <f t="shared" si="15"/>
        <v>27</v>
      </c>
      <c r="U12" s="61">
        <f t="shared" si="16"/>
        <v>36</v>
      </c>
      <c r="V12" s="62">
        <f t="shared" si="17"/>
        <v>18</v>
      </c>
      <c r="W12" s="60">
        <f t="shared" si="18"/>
        <v>27</v>
      </c>
      <c r="X12" s="60">
        <f t="shared" si="19"/>
        <v>36</v>
      </c>
      <c r="Y12" s="60">
        <f t="shared" si="20"/>
        <v>45</v>
      </c>
      <c r="Z12" s="60">
        <f t="shared" si="21"/>
        <v>54</v>
      </c>
      <c r="AA12" s="60">
        <f t="shared" si="22"/>
        <v>63</v>
      </c>
      <c r="AB12" s="60">
        <f t="shared" si="23"/>
        <v>72</v>
      </c>
      <c r="AC12" s="61">
        <f t="shared" si="24"/>
        <v>81</v>
      </c>
    </row>
    <row r="13">
      <c r="C13" s="6">
        <v>9.0</v>
      </c>
      <c r="D13" s="53">
        <f t="shared" si="1"/>
        <v>9</v>
      </c>
      <c r="E13" s="31">
        <f t="shared" si="2"/>
        <v>18</v>
      </c>
      <c r="F13" s="31">
        <f t="shared" si="3"/>
        <v>27</v>
      </c>
      <c r="G13" s="31">
        <f t="shared" si="4"/>
        <v>36</v>
      </c>
      <c r="H13" s="53">
        <f t="shared" si="5"/>
        <v>18</v>
      </c>
      <c r="I13" s="31">
        <f t="shared" si="6"/>
        <v>27</v>
      </c>
      <c r="J13" s="31">
        <f t="shared" si="7"/>
        <v>36</v>
      </c>
      <c r="K13" s="31">
        <f t="shared" si="8"/>
        <v>45</v>
      </c>
      <c r="L13" s="31">
        <f t="shared" si="9"/>
        <v>54</v>
      </c>
      <c r="M13" s="31">
        <f t="shared" si="10"/>
        <v>63</v>
      </c>
      <c r="N13" s="31">
        <f t="shared" si="11"/>
        <v>72</v>
      </c>
      <c r="O13" s="54">
        <f t="shared" si="12"/>
        <v>81</v>
      </c>
      <c r="Q13" s="59">
        <v>10.0</v>
      </c>
      <c r="R13" s="60">
        <f t="shared" si="13"/>
        <v>10</v>
      </c>
      <c r="S13" s="60">
        <f t="shared" si="14"/>
        <v>20</v>
      </c>
      <c r="T13" s="60">
        <f t="shared" si="15"/>
        <v>30</v>
      </c>
      <c r="U13" s="61">
        <f t="shared" si="16"/>
        <v>40</v>
      </c>
      <c r="V13" s="62">
        <f t="shared" si="17"/>
        <v>20</v>
      </c>
      <c r="W13" s="60">
        <f t="shared" si="18"/>
        <v>30</v>
      </c>
      <c r="X13" s="60">
        <f t="shared" si="19"/>
        <v>40</v>
      </c>
      <c r="Y13" s="60">
        <f t="shared" si="20"/>
        <v>50</v>
      </c>
      <c r="Z13" s="60">
        <f t="shared" si="21"/>
        <v>60</v>
      </c>
      <c r="AA13" s="60">
        <f t="shared" si="22"/>
        <v>70</v>
      </c>
      <c r="AB13" s="60">
        <f t="shared" si="23"/>
        <v>80</v>
      </c>
      <c r="AC13" s="61">
        <f t="shared" si="24"/>
        <v>90</v>
      </c>
    </row>
    <row r="14">
      <c r="C14" s="6">
        <v>10.0</v>
      </c>
      <c r="D14" s="53">
        <f t="shared" si="1"/>
        <v>10</v>
      </c>
      <c r="E14" s="31">
        <f t="shared" si="2"/>
        <v>20</v>
      </c>
      <c r="F14" s="31">
        <f t="shared" si="3"/>
        <v>30</v>
      </c>
      <c r="G14" s="31">
        <f t="shared" si="4"/>
        <v>40</v>
      </c>
      <c r="H14" s="53">
        <f t="shared" si="5"/>
        <v>20</v>
      </c>
      <c r="I14" s="31">
        <f t="shared" si="6"/>
        <v>30</v>
      </c>
      <c r="J14" s="31">
        <f t="shared" si="7"/>
        <v>40</v>
      </c>
      <c r="K14" s="31">
        <f t="shared" si="8"/>
        <v>50</v>
      </c>
      <c r="L14" s="31">
        <f t="shared" si="9"/>
        <v>60</v>
      </c>
      <c r="M14" s="31">
        <f t="shared" si="10"/>
        <v>70</v>
      </c>
      <c r="N14" s="31">
        <f t="shared" si="11"/>
        <v>80</v>
      </c>
      <c r="O14" s="54">
        <f t="shared" si="12"/>
        <v>90</v>
      </c>
      <c r="Q14" s="59">
        <v>11.0</v>
      </c>
      <c r="R14" s="60">
        <f t="shared" si="13"/>
        <v>11</v>
      </c>
      <c r="S14" s="60">
        <f t="shared" si="14"/>
        <v>22</v>
      </c>
      <c r="T14" s="60">
        <f t="shared" si="15"/>
        <v>33</v>
      </c>
      <c r="U14" s="61">
        <f t="shared" si="16"/>
        <v>44</v>
      </c>
      <c r="V14" s="62">
        <f t="shared" si="17"/>
        <v>22</v>
      </c>
      <c r="W14" s="60">
        <f t="shared" si="18"/>
        <v>33</v>
      </c>
      <c r="X14" s="60">
        <f t="shared" si="19"/>
        <v>44</v>
      </c>
      <c r="Y14" s="60">
        <f t="shared" si="20"/>
        <v>55</v>
      </c>
      <c r="Z14" s="60">
        <f t="shared" si="21"/>
        <v>66</v>
      </c>
      <c r="AA14" s="60">
        <f t="shared" si="22"/>
        <v>77</v>
      </c>
      <c r="AB14" s="60">
        <f t="shared" si="23"/>
        <v>88</v>
      </c>
      <c r="AC14" s="61">
        <f t="shared" si="24"/>
        <v>99</v>
      </c>
    </row>
    <row r="15">
      <c r="C15" s="6">
        <v>11.0</v>
      </c>
      <c r="D15" s="53">
        <f t="shared" si="1"/>
        <v>11</v>
      </c>
      <c r="E15" s="31">
        <f t="shared" si="2"/>
        <v>22</v>
      </c>
      <c r="F15" s="31">
        <f t="shared" si="3"/>
        <v>33</v>
      </c>
      <c r="G15" s="31">
        <f t="shared" si="4"/>
        <v>44</v>
      </c>
      <c r="H15" s="53">
        <f t="shared" si="5"/>
        <v>22</v>
      </c>
      <c r="I15" s="31">
        <f t="shared" si="6"/>
        <v>33</v>
      </c>
      <c r="J15" s="31">
        <f t="shared" si="7"/>
        <v>44</v>
      </c>
      <c r="K15" s="31">
        <f t="shared" si="8"/>
        <v>55</v>
      </c>
      <c r="L15" s="31">
        <f t="shared" si="9"/>
        <v>66</v>
      </c>
      <c r="M15" s="31">
        <f t="shared" si="10"/>
        <v>77</v>
      </c>
      <c r="N15" s="31">
        <f t="shared" si="11"/>
        <v>88</v>
      </c>
      <c r="O15" s="54">
        <f t="shared" si="12"/>
        <v>99</v>
      </c>
      <c r="Q15" s="59">
        <v>12.0</v>
      </c>
      <c r="R15" s="60">
        <f t="shared" si="13"/>
        <v>12</v>
      </c>
      <c r="S15" s="60">
        <f t="shared" si="14"/>
        <v>24</v>
      </c>
      <c r="T15" s="60">
        <f t="shared" si="15"/>
        <v>36</v>
      </c>
      <c r="U15" s="61">
        <f t="shared" si="16"/>
        <v>48</v>
      </c>
      <c r="V15" s="62">
        <f t="shared" si="17"/>
        <v>24</v>
      </c>
      <c r="W15" s="60">
        <f t="shared" si="18"/>
        <v>36</v>
      </c>
      <c r="X15" s="60">
        <f t="shared" si="19"/>
        <v>48</v>
      </c>
      <c r="Y15" s="60">
        <f t="shared" si="20"/>
        <v>60</v>
      </c>
      <c r="Z15" s="60">
        <f t="shared" si="21"/>
        <v>72</v>
      </c>
      <c r="AA15" s="60">
        <f t="shared" si="22"/>
        <v>84</v>
      </c>
      <c r="AB15" s="60">
        <f t="shared" si="23"/>
        <v>96</v>
      </c>
      <c r="AC15" s="61">
        <f t="shared" si="24"/>
        <v>108</v>
      </c>
    </row>
    <row r="16">
      <c r="C16" s="13">
        <v>12.0</v>
      </c>
      <c r="D16" s="63">
        <f t="shared" si="1"/>
        <v>12</v>
      </c>
      <c r="E16" s="64">
        <f t="shared" si="2"/>
        <v>24</v>
      </c>
      <c r="F16" s="64">
        <f t="shared" si="3"/>
        <v>36</v>
      </c>
      <c r="G16" s="64">
        <f t="shared" si="4"/>
        <v>48</v>
      </c>
      <c r="H16" s="63">
        <f t="shared" si="5"/>
        <v>24</v>
      </c>
      <c r="I16" s="64">
        <f t="shared" si="6"/>
        <v>36</v>
      </c>
      <c r="J16" s="64">
        <f t="shared" si="7"/>
        <v>48</v>
      </c>
      <c r="K16" s="64">
        <f t="shared" si="8"/>
        <v>60</v>
      </c>
      <c r="L16" s="64">
        <f t="shared" si="9"/>
        <v>72</v>
      </c>
      <c r="M16" s="64">
        <f t="shared" si="10"/>
        <v>84</v>
      </c>
      <c r="N16" s="64">
        <f t="shared" si="11"/>
        <v>96</v>
      </c>
      <c r="O16" s="65">
        <f t="shared" si="12"/>
        <v>108</v>
      </c>
      <c r="Q16" s="59">
        <v>13.0</v>
      </c>
      <c r="R16" s="60">
        <f t="shared" si="13"/>
        <v>13</v>
      </c>
      <c r="S16" s="60">
        <f t="shared" si="14"/>
        <v>26</v>
      </c>
      <c r="T16" s="60">
        <f t="shared" si="15"/>
        <v>39</v>
      </c>
      <c r="U16" s="61">
        <f t="shared" si="16"/>
        <v>52</v>
      </c>
      <c r="V16" s="62">
        <f t="shared" si="17"/>
        <v>26</v>
      </c>
      <c r="W16" s="60">
        <f t="shared" si="18"/>
        <v>39</v>
      </c>
      <c r="X16" s="60">
        <f t="shared" si="19"/>
        <v>52</v>
      </c>
      <c r="Y16" s="60">
        <f t="shared" si="20"/>
        <v>65</v>
      </c>
      <c r="Z16" s="60">
        <f t="shared" si="21"/>
        <v>78</v>
      </c>
      <c r="AA16" s="60">
        <f t="shared" si="22"/>
        <v>91</v>
      </c>
      <c r="AB16" s="60">
        <f t="shared" si="23"/>
        <v>104</v>
      </c>
      <c r="AC16" s="61">
        <f t="shared" si="24"/>
        <v>117</v>
      </c>
    </row>
    <row r="17">
      <c r="Q17" s="59">
        <v>14.0</v>
      </c>
      <c r="R17" s="60">
        <f t="shared" si="13"/>
        <v>14</v>
      </c>
      <c r="S17" s="60">
        <f t="shared" si="14"/>
        <v>28</v>
      </c>
      <c r="T17" s="60">
        <f t="shared" si="15"/>
        <v>42</v>
      </c>
      <c r="U17" s="61">
        <f t="shared" si="16"/>
        <v>56</v>
      </c>
      <c r="V17" s="62">
        <f t="shared" si="17"/>
        <v>28</v>
      </c>
      <c r="W17" s="60">
        <f t="shared" si="18"/>
        <v>42</v>
      </c>
      <c r="X17" s="60">
        <f t="shared" si="19"/>
        <v>56</v>
      </c>
      <c r="Y17" s="60">
        <f t="shared" si="20"/>
        <v>70</v>
      </c>
      <c r="Z17" s="60">
        <f t="shared" si="21"/>
        <v>84</v>
      </c>
      <c r="AA17" s="60">
        <f t="shared" si="22"/>
        <v>98</v>
      </c>
      <c r="AB17" s="60">
        <f t="shared" si="23"/>
        <v>112</v>
      </c>
      <c r="AC17" s="61">
        <f t="shared" si="24"/>
        <v>126</v>
      </c>
    </row>
    <row r="18">
      <c r="Q18" s="59">
        <v>15.0</v>
      </c>
      <c r="R18" s="60">
        <f t="shared" si="13"/>
        <v>15</v>
      </c>
      <c r="S18" s="60">
        <f t="shared" si="14"/>
        <v>30</v>
      </c>
      <c r="T18" s="60">
        <f t="shared" si="15"/>
        <v>45</v>
      </c>
      <c r="U18" s="61">
        <f t="shared" si="16"/>
        <v>60</v>
      </c>
      <c r="V18" s="62">
        <f t="shared" si="17"/>
        <v>30</v>
      </c>
      <c r="W18" s="60">
        <f t="shared" si="18"/>
        <v>45</v>
      </c>
      <c r="X18" s="60">
        <f t="shared" si="19"/>
        <v>60</v>
      </c>
      <c r="Y18" s="60">
        <f t="shared" si="20"/>
        <v>75</v>
      </c>
      <c r="Z18" s="60">
        <f t="shared" si="21"/>
        <v>90</v>
      </c>
      <c r="AA18" s="60">
        <f t="shared" si="22"/>
        <v>105</v>
      </c>
      <c r="AB18" s="60">
        <f t="shared" si="23"/>
        <v>120</v>
      </c>
      <c r="AC18" s="61">
        <f t="shared" si="24"/>
        <v>135</v>
      </c>
    </row>
    <row r="19">
      <c r="Q19" s="59">
        <v>16.0</v>
      </c>
      <c r="R19" s="60">
        <f t="shared" si="13"/>
        <v>16</v>
      </c>
      <c r="S19" s="60">
        <f t="shared" si="14"/>
        <v>32</v>
      </c>
      <c r="T19" s="60">
        <f t="shared" si="15"/>
        <v>48</v>
      </c>
      <c r="U19" s="61">
        <f t="shared" si="16"/>
        <v>64</v>
      </c>
      <c r="V19" s="62">
        <f t="shared" si="17"/>
        <v>32</v>
      </c>
      <c r="W19" s="60">
        <f t="shared" si="18"/>
        <v>48</v>
      </c>
      <c r="X19" s="60">
        <f t="shared" si="19"/>
        <v>64</v>
      </c>
      <c r="Y19" s="60">
        <f t="shared" si="20"/>
        <v>80</v>
      </c>
      <c r="Z19" s="60">
        <f t="shared" si="21"/>
        <v>96</v>
      </c>
      <c r="AA19" s="60">
        <f t="shared" si="22"/>
        <v>112</v>
      </c>
      <c r="AB19" s="60">
        <f t="shared" si="23"/>
        <v>128</v>
      </c>
      <c r="AC19" s="61">
        <f t="shared" si="24"/>
        <v>144</v>
      </c>
    </row>
    <row r="20">
      <c r="Q20" s="59">
        <v>17.0</v>
      </c>
      <c r="R20" s="60">
        <f t="shared" si="13"/>
        <v>17</v>
      </c>
      <c r="S20" s="60">
        <f t="shared" si="14"/>
        <v>34</v>
      </c>
      <c r="T20" s="60">
        <f t="shared" si="15"/>
        <v>51</v>
      </c>
      <c r="U20" s="61">
        <f t="shared" si="16"/>
        <v>68</v>
      </c>
      <c r="V20" s="62">
        <f t="shared" si="17"/>
        <v>34</v>
      </c>
      <c r="W20" s="60">
        <f t="shared" si="18"/>
        <v>51</v>
      </c>
      <c r="X20" s="60">
        <f t="shared" si="19"/>
        <v>68</v>
      </c>
      <c r="Y20" s="60">
        <f t="shared" si="20"/>
        <v>85</v>
      </c>
      <c r="Z20" s="60">
        <f t="shared" si="21"/>
        <v>102</v>
      </c>
      <c r="AA20" s="60">
        <f t="shared" si="22"/>
        <v>119</v>
      </c>
      <c r="AB20" s="60">
        <f t="shared" si="23"/>
        <v>136</v>
      </c>
      <c r="AC20" s="61">
        <f t="shared" si="24"/>
        <v>153</v>
      </c>
    </row>
    <row r="21">
      <c r="Q21" s="59">
        <v>18.0</v>
      </c>
      <c r="R21" s="60">
        <f t="shared" si="13"/>
        <v>18</v>
      </c>
      <c r="S21" s="60">
        <f t="shared" si="14"/>
        <v>36</v>
      </c>
      <c r="T21" s="60">
        <f t="shared" si="15"/>
        <v>54</v>
      </c>
      <c r="U21" s="61">
        <f t="shared" si="16"/>
        <v>72</v>
      </c>
      <c r="V21" s="62">
        <f t="shared" si="17"/>
        <v>36</v>
      </c>
      <c r="W21" s="60">
        <f t="shared" si="18"/>
        <v>54</v>
      </c>
      <c r="X21" s="60">
        <f t="shared" si="19"/>
        <v>72</v>
      </c>
      <c r="Y21" s="60">
        <f t="shared" si="20"/>
        <v>90</v>
      </c>
      <c r="Z21" s="60">
        <f t="shared" si="21"/>
        <v>108</v>
      </c>
      <c r="AA21" s="60">
        <f t="shared" si="22"/>
        <v>126</v>
      </c>
      <c r="AB21" s="60">
        <f t="shared" si="23"/>
        <v>144</v>
      </c>
      <c r="AC21" s="61">
        <f t="shared" si="24"/>
        <v>162</v>
      </c>
    </row>
    <row r="22">
      <c r="Q22" s="59">
        <v>19.0</v>
      </c>
      <c r="R22" s="60">
        <f t="shared" si="13"/>
        <v>19</v>
      </c>
      <c r="S22" s="60">
        <f t="shared" si="14"/>
        <v>38</v>
      </c>
      <c r="T22" s="60">
        <f t="shared" si="15"/>
        <v>57</v>
      </c>
      <c r="U22" s="61">
        <f t="shared" si="16"/>
        <v>76</v>
      </c>
      <c r="V22" s="62">
        <f t="shared" si="17"/>
        <v>38</v>
      </c>
      <c r="W22" s="60">
        <f t="shared" si="18"/>
        <v>57</v>
      </c>
      <c r="X22" s="60">
        <f t="shared" si="19"/>
        <v>76</v>
      </c>
      <c r="Y22" s="60">
        <f t="shared" si="20"/>
        <v>95</v>
      </c>
      <c r="Z22" s="60">
        <f t="shared" si="21"/>
        <v>114</v>
      </c>
      <c r="AA22" s="60">
        <f t="shared" si="22"/>
        <v>133</v>
      </c>
      <c r="AB22" s="60">
        <f t="shared" si="23"/>
        <v>152</v>
      </c>
      <c r="AC22" s="61">
        <f t="shared" si="24"/>
        <v>171</v>
      </c>
    </row>
    <row r="23">
      <c r="Q23" s="59">
        <v>20.0</v>
      </c>
      <c r="R23" s="60">
        <f t="shared" si="13"/>
        <v>20</v>
      </c>
      <c r="S23" s="60">
        <f t="shared" si="14"/>
        <v>40</v>
      </c>
      <c r="T23" s="60">
        <f t="shared" si="15"/>
        <v>60</v>
      </c>
      <c r="U23" s="61">
        <f t="shared" si="16"/>
        <v>80</v>
      </c>
      <c r="V23" s="62">
        <f t="shared" si="17"/>
        <v>40</v>
      </c>
      <c r="W23" s="60">
        <f t="shared" si="18"/>
        <v>60</v>
      </c>
      <c r="X23" s="60">
        <f t="shared" si="19"/>
        <v>80</v>
      </c>
      <c r="Y23" s="60">
        <f t="shared" si="20"/>
        <v>100</v>
      </c>
      <c r="Z23" s="60">
        <f t="shared" si="21"/>
        <v>120</v>
      </c>
      <c r="AA23" s="60">
        <f t="shared" si="22"/>
        <v>140</v>
      </c>
      <c r="AB23" s="60">
        <f t="shared" si="23"/>
        <v>160</v>
      </c>
      <c r="AC23" s="61">
        <f t="shared" si="24"/>
        <v>180</v>
      </c>
    </row>
    <row r="24">
      <c r="Q24" s="59">
        <v>21.0</v>
      </c>
      <c r="R24" s="60">
        <f t="shared" si="13"/>
        <v>21</v>
      </c>
      <c r="S24" s="60">
        <f t="shared" si="14"/>
        <v>42</v>
      </c>
      <c r="T24" s="60">
        <f t="shared" si="15"/>
        <v>63</v>
      </c>
      <c r="U24" s="61">
        <f t="shared" si="16"/>
        <v>84</v>
      </c>
      <c r="V24" s="62">
        <f t="shared" si="17"/>
        <v>42</v>
      </c>
      <c r="W24" s="60">
        <f t="shared" si="18"/>
        <v>63</v>
      </c>
      <c r="X24" s="60">
        <f t="shared" si="19"/>
        <v>84</v>
      </c>
      <c r="Y24" s="60">
        <f t="shared" si="20"/>
        <v>105</v>
      </c>
      <c r="Z24" s="60">
        <f t="shared" si="21"/>
        <v>126</v>
      </c>
      <c r="AA24" s="60">
        <f t="shared" si="22"/>
        <v>147</v>
      </c>
      <c r="AB24" s="60">
        <f t="shared" si="23"/>
        <v>168</v>
      </c>
      <c r="AC24" s="61">
        <f t="shared" si="24"/>
        <v>189</v>
      </c>
    </row>
    <row r="25">
      <c r="Q25" s="59">
        <v>22.0</v>
      </c>
      <c r="R25" s="60">
        <f t="shared" si="13"/>
        <v>22</v>
      </c>
      <c r="S25" s="60">
        <f t="shared" si="14"/>
        <v>44</v>
      </c>
      <c r="T25" s="60">
        <f t="shared" si="15"/>
        <v>66</v>
      </c>
      <c r="U25" s="61">
        <f t="shared" si="16"/>
        <v>88</v>
      </c>
      <c r="V25" s="62">
        <f t="shared" si="17"/>
        <v>44</v>
      </c>
      <c r="W25" s="60">
        <f t="shared" si="18"/>
        <v>66</v>
      </c>
      <c r="X25" s="60">
        <f t="shared" si="19"/>
        <v>88</v>
      </c>
      <c r="Y25" s="60">
        <f t="shared" si="20"/>
        <v>110</v>
      </c>
      <c r="Z25" s="60">
        <f t="shared" si="21"/>
        <v>132</v>
      </c>
      <c r="AA25" s="60">
        <f t="shared" si="22"/>
        <v>154</v>
      </c>
      <c r="AB25" s="60">
        <f t="shared" si="23"/>
        <v>176</v>
      </c>
      <c r="AC25" s="61">
        <f t="shared" si="24"/>
        <v>198</v>
      </c>
    </row>
    <row r="26">
      <c r="Q26" s="59">
        <v>23.0</v>
      </c>
      <c r="R26" s="60">
        <f t="shared" si="13"/>
        <v>23</v>
      </c>
      <c r="S26" s="60">
        <f t="shared" si="14"/>
        <v>46</v>
      </c>
      <c r="T26" s="60">
        <f t="shared" si="15"/>
        <v>69</v>
      </c>
      <c r="U26" s="61">
        <f t="shared" si="16"/>
        <v>92</v>
      </c>
      <c r="V26" s="62">
        <f t="shared" si="17"/>
        <v>46</v>
      </c>
      <c r="W26" s="60">
        <f t="shared" si="18"/>
        <v>69</v>
      </c>
      <c r="X26" s="60">
        <f t="shared" si="19"/>
        <v>92</v>
      </c>
      <c r="Y26" s="60">
        <f t="shared" si="20"/>
        <v>115</v>
      </c>
      <c r="Z26" s="60">
        <f t="shared" si="21"/>
        <v>138</v>
      </c>
      <c r="AA26" s="60">
        <f t="shared" si="22"/>
        <v>161</v>
      </c>
      <c r="AB26" s="60">
        <f t="shared" si="23"/>
        <v>184</v>
      </c>
      <c r="AC26" s="61">
        <f t="shared" si="24"/>
        <v>207</v>
      </c>
    </row>
    <row r="27">
      <c r="Q27" s="66">
        <v>24.0</v>
      </c>
      <c r="R27" s="67">
        <f t="shared" si="13"/>
        <v>24</v>
      </c>
      <c r="S27" s="67">
        <f t="shared" si="14"/>
        <v>48</v>
      </c>
      <c r="T27" s="67">
        <f t="shared" si="15"/>
        <v>72</v>
      </c>
      <c r="U27" s="68">
        <f t="shared" si="16"/>
        <v>96</v>
      </c>
      <c r="V27" s="69">
        <f t="shared" si="17"/>
        <v>48</v>
      </c>
      <c r="W27" s="67">
        <f t="shared" si="18"/>
        <v>72</v>
      </c>
      <c r="X27" s="67">
        <f t="shared" si="19"/>
        <v>96</v>
      </c>
      <c r="Y27" s="67">
        <f t="shared" si="20"/>
        <v>120</v>
      </c>
      <c r="Z27" s="67">
        <f t="shared" si="21"/>
        <v>144</v>
      </c>
      <c r="AA27" s="67">
        <f t="shared" si="22"/>
        <v>168</v>
      </c>
      <c r="AB27" s="67">
        <f t="shared" si="23"/>
        <v>192</v>
      </c>
      <c r="AC27" s="68">
        <f t="shared" si="24"/>
        <v>216</v>
      </c>
    </row>
  </sheetData>
  <mergeCells count="6">
    <mergeCell ref="C3:C4"/>
    <mergeCell ref="Q3:Q4"/>
    <mergeCell ref="D4:G4"/>
    <mergeCell ref="H4:O4"/>
    <mergeCell ref="R4:U4"/>
    <mergeCell ref="V4:AC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25"/>
    <col customWidth="1" min="3" max="3" width="9.13"/>
    <col customWidth="1" min="4" max="4" width="10.0"/>
    <col customWidth="1" min="5" max="5" width="9.5"/>
    <col customWidth="1" min="6" max="6" width="11.25"/>
    <col customWidth="1" min="7" max="7" width="25.88"/>
    <col customWidth="1" min="8" max="9" width="8.88"/>
    <col customWidth="1" min="10" max="11" width="7.88"/>
    <col customWidth="1" min="12" max="12" width="81.13"/>
  </cols>
  <sheetData>
    <row r="2">
      <c r="B2" s="70" t="s">
        <v>68</v>
      </c>
      <c r="C2" s="10"/>
      <c r="D2" s="10"/>
      <c r="E2" s="10"/>
      <c r="F2" s="10"/>
      <c r="G2" s="10"/>
      <c r="H2" s="10"/>
      <c r="I2" s="10"/>
      <c r="J2" s="10"/>
      <c r="K2" s="10"/>
      <c r="L2" s="19"/>
    </row>
    <row r="3">
      <c r="B3" s="71" t="s">
        <v>69</v>
      </c>
      <c r="C3" s="72" t="s">
        <v>70</v>
      </c>
      <c r="D3" s="72" t="s">
        <v>71</v>
      </c>
      <c r="E3" s="72" t="s">
        <v>72</v>
      </c>
      <c r="F3" s="72" t="s">
        <v>73</v>
      </c>
      <c r="G3" s="72" t="s">
        <v>74</v>
      </c>
      <c r="H3" s="72" t="s">
        <v>75</v>
      </c>
      <c r="I3" s="72" t="s">
        <v>76</v>
      </c>
      <c r="J3" s="72" t="s">
        <v>2</v>
      </c>
      <c r="K3" s="72" t="s">
        <v>19</v>
      </c>
      <c r="L3" s="73" t="s">
        <v>77</v>
      </c>
    </row>
    <row r="4">
      <c r="B4" s="74" t="s">
        <v>78</v>
      </c>
      <c r="C4" s="75" t="s">
        <v>52</v>
      </c>
      <c r="D4" s="76" t="s">
        <v>79</v>
      </c>
      <c r="E4" s="76" t="s">
        <v>80</v>
      </c>
      <c r="F4" s="76">
        <v>15.0</v>
      </c>
      <c r="G4" s="76" t="s">
        <v>81</v>
      </c>
      <c r="H4" s="76">
        <v>16.0</v>
      </c>
      <c r="I4" s="76">
        <v>27.0</v>
      </c>
      <c r="J4" s="76">
        <v>5.0</v>
      </c>
      <c r="K4" s="76">
        <v>1.0</v>
      </c>
      <c r="L4" s="77" t="s">
        <v>82</v>
      </c>
    </row>
    <row r="5">
      <c r="B5" s="74" t="s">
        <v>83</v>
      </c>
      <c r="C5" s="75" t="s">
        <v>7</v>
      </c>
      <c r="D5" s="76" t="s">
        <v>79</v>
      </c>
      <c r="E5" s="76" t="s">
        <v>84</v>
      </c>
      <c r="F5" s="76">
        <v>20.0</v>
      </c>
      <c r="G5" s="76" t="s">
        <v>85</v>
      </c>
      <c r="H5" s="76">
        <v>20.0</v>
      </c>
      <c r="I5" s="76">
        <v>32.0</v>
      </c>
      <c r="J5" s="76">
        <v>5.0</v>
      </c>
      <c r="K5" s="76">
        <v>1.0</v>
      </c>
      <c r="L5" s="77" t="s">
        <v>86</v>
      </c>
    </row>
    <row r="6">
      <c r="B6" s="74" t="s">
        <v>87</v>
      </c>
      <c r="C6" s="75" t="s">
        <v>6</v>
      </c>
      <c r="D6" s="76" t="s">
        <v>79</v>
      </c>
      <c r="E6" s="76" t="s">
        <v>88</v>
      </c>
      <c r="F6" s="76">
        <v>25.0</v>
      </c>
      <c r="G6" s="76" t="s">
        <v>89</v>
      </c>
      <c r="H6" s="76">
        <v>25.0</v>
      </c>
      <c r="I6" s="76">
        <v>45.0</v>
      </c>
      <c r="J6" s="76">
        <v>5.0</v>
      </c>
      <c r="K6" s="76">
        <v>1.0</v>
      </c>
      <c r="L6" s="77" t="s">
        <v>90</v>
      </c>
    </row>
    <row r="9">
      <c r="B9" s="36" t="s">
        <v>91</v>
      </c>
    </row>
    <row r="11">
      <c r="B11" s="36" t="s">
        <v>92</v>
      </c>
    </row>
    <row r="12">
      <c r="B12" s="78" t="s">
        <v>69</v>
      </c>
      <c r="C12" s="79" t="s">
        <v>70</v>
      </c>
      <c r="D12" s="79" t="s">
        <v>71</v>
      </c>
      <c r="E12" s="79" t="s">
        <v>72</v>
      </c>
      <c r="F12" s="79" t="s">
        <v>73</v>
      </c>
      <c r="G12" s="79" t="s">
        <v>74</v>
      </c>
      <c r="H12" s="79" t="s">
        <v>75</v>
      </c>
      <c r="I12" s="79" t="s">
        <v>76</v>
      </c>
      <c r="J12" s="79" t="s">
        <v>2</v>
      </c>
      <c r="K12" s="79" t="s">
        <v>19</v>
      </c>
      <c r="L12" s="80" t="s">
        <v>77</v>
      </c>
    </row>
    <row r="13">
      <c r="B13" s="81" t="s">
        <v>93</v>
      </c>
      <c r="C13" s="82" t="s">
        <v>6</v>
      </c>
      <c r="D13" s="81" t="s">
        <v>94</v>
      </c>
      <c r="E13" s="81" t="s">
        <v>88</v>
      </c>
      <c r="F13" s="81">
        <v>30.0</v>
      </c>
      <c r="G13" s="81" t="s">
        <v>95</v>
      </c>
      <c r="H13" s="81">
        <v>30.0</v>
      </c>
      <c r="I13" s="81">
        <v>66.0</v>
      </c>
      <c r="J13" s="81">
        <v>10.0</v>
      </c>
      <c r="K13" s="81">
        <v>2.0</v>
      </c>
      <c r="L13" s="81" t="s">
        <v>96</v>
      </c>
    </row>
    <row r="14">
      <c r="B14" s="81" t="s">
        <v>97</v>
      </c>
      <c r="C14" s="82" t="s">
        <v>51</v>
      </c>
      <c r="D14" s="81" t="s">
        <v>98</v>
      </c>
      <c r="E14" s="81" t="s">
        <v>80</v>
      </c>
      <c r="F14" s="81">
        <v>60.0</v>
      </c>
      <c r="G14" s="81" t="s">
        <v>99</v>
      </c>
      <c r="H14" s="81">
        <v>60.0</v>
      </c>
      <c r="I14" s="81">
        <v>76.0</v>
      </c>
      <c r="J14" s="81">
        <v>10.0</v>
      </c>
      <c r="K14" s="81">
        <v>2.0</v>
      </c>
      <c r="L14" s="81" t="s">
        <v>100</v>
      </c>
    </row>
    <row r="15">
      <c r="E15" s="76"/>
    </row>
  </sheetData>
  <mergeCells count="1">
    <mergeCell ref="B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5" width="9.75"/>
    <col customWidth="1" min="6" max="6" width="27.13"/>
    <col customWidth="1" min="7" max="8" width="8.5"/>
    <col customWidth="1" min="9" max="10" width="5.75"/>
    <col customWidth="1" min="11" max="11" width="59.38"/>
  </cols>
  <sheetData>
    <row r="5">
      <c r="A5" s="78" t="s">
        <v>69</v>
      </c>
      <c r="B5" s="79" t="s">
        <v>70</v>
      </c>
      <c r="C5" s="79" t="s">
        <v>71</v>
      </c>
      <c r="D5" s="79" t="s">
        <v>72</v>
      </c>
      <c r="E5" s="79" t="s">
        <v>73</v>
      </c>
      <c r="F5" s="79" t="s">
        <v>74</v>
      </c>
      <c r="G5" s="79" t="s">
        <v>75</v>
      </c>
      <c r="H5" s="79" t="s">
        <v>76</v>
      </c>
      <c r="I5" s="79" t="s">
        <v>2</v>
      </c>
      <c r="J5" s="79" t="s">
        <v>19</v>
      </c>
      <c r="K5" s="80" t="s">
        <v>77</v>
      </c>
    </row>
    <row r="6">
      <c r="A6" s="81" t="s">
        <v>93</v>
      </c>
      <c r="B6" s="82" t="s">
        <v>6</v>
      </c>
      <c r="C6" s="81" t="s">
        <v>94</v>
      </c>
      <c r="D6" s="81" t="s">
        <v>88</v>
      </c>
      <c r="E6" s="81">
        <v>30.0</v>
      </c>
      <c r="F6" s="81" t="s">
        <v>101</v>
      </c>
      <c r="G6" s="81">
        <v>30.0</v>
      </c>
      <c r="H6" s="81">
        <v>66.0</v>
      </c>
      <c r="I6" s="81">
        <v>10.0</v>
      </c>
      <c r="J6" s="81">
        <v>2.0</v>
      </c>
      <c r="K6" s="81" t="s">
        <v>102</v>
      </c>
    </row>
    <row r="7">
      <c r="A7" s="81" t="s">
        <v>97</v>
      </c>
      <c r="B7" s="82" t="s">
        <v>51</v>
      </c>
      <c r="C7" s="81" t="s">
        <v>98</v>
      </c>
      <c r="D7" s="81" t="s">
        <v>80</v>
      </c>
      <c r="E7" s="81">
        <v>60.0</v>
      </c>
      <c r="F7" s="81" t="s">
        <v>103</v>
      </c>
      <c r="G7" s="81">
        <v>60.0</v>
      </c>
      <c r="H7" s="81">
        <v>76.0</v>
      </c>
      <c r="I7" s="81">
        <v>10.0</v>
      </c>
      <c r="J7" s="81">
        <v>2.0</v>
      </c>
      <c r="K7" s="81" t="s">
        <v>104</v>
      </c>
    </row>
  </sheetData>
  <drawing r:id="rId1"/>
</worksheet>
</file>