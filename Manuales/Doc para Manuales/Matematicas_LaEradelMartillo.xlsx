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1d12 Probabilidades" sheetId="2" state="visible" r:id="rId4"/>
    <sheet name="Ataque vs Defensa" sheetId="3" state="visible" r:id="rId5"/>
    <sheet name="Modificadores" sheetId="4" state="visible" r:id="rId6"/>
    <sheet name="Localización 1d100" sheetId="5" state="visible" r:id="rId7"/>
    <sheet name="Daño y RD" sheetId="6" state="visible" r:id="rId8"/>
    <sheet name="Efecto vs Resistencia" sheetId="7" state="visible" r:id="rId9"/>
    <sheet name="Recuperación Cabeza" sheetId="8" state="visible" r:id="rId10"/>
    <sheet name="Simulación Comba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<sst xmlns="http://schemas.openxmlformats.org/spreadsheetml/2006/main" count="198" uniqueCount="184">
  <si>
    <t xml:space="preserve">⚔  LA ERA DEL MARTILLO — ANÁLISIS MATEMÁTICO</t>
  </si>
  <si>
    <t xml:space="preserve">Herramienta de diseño y balanceo del sistema de dados</t>
  </si>
  <si>
    <t xml:space="preserve">#</t>
  </si>
  <si>
    <t xml:space="preserve">Hoja</t>
  </si>
  <si>
    <t xml:space="preserve">Contenido</t>
  </si>
  <si>
    <t xml:space="preserve">1</t>
  </si>
  <si>
    <t xml:space="preserve">1d12 Probabilidades</t>
  </si>
  <si>
    <t xml:space="preserve">Distribución del d12, percentiles, suma de dos d12</t>
  </si>
  <si>
    <t xml:space="preserve">2</t>
  </si>
  <si>
    <t xml:space="preserve">Ataque vs Defensa</t>
  </si>
  <si>
    <t xml:space="preserve">Prob. de impacto según ataque vs defensa (1d12+stat)</t>
  </si>
  <si>
    <t xml:space="preserve">3</t>
  </si>
  <si>
    <t xml:space="preserve">Modificadores</t>
  </si>
  <si>
    <t xml:space="preserve">Impacto de los modificadores -4 a +4 en la resolución</t>
  </si>
  <si>
    <t xml:space="preserve">4</t>
  </si>
  <si>
    <t xml:space="preserve">Localización 1d100</t>
  </si>
  <si>
    <t xml:space="preserve">Frecuencia de cada zona del cuerpo, análisis de zonas</t>
  </si>
  <si>
    <t xml:space="preserve">5</t>
  </si>
  <si>
    <t xml:space="preserve">Daño y RD</t>
  </si>
  <si>
    <t xml:space="preserve">Daño neto esperado según arma, RD y modificadores</t>
  </si>
  <si>
    <t xml:space="preserve">6</t>
  </si>
  <si>
    <t xml:space="preserve">Efecto vs Resistencia</t>
  </si>
  <si>
    <t xml:space="preserve">Prob. de aplicar estados negativos con 1d6+mod</t>
  </si>
  <si>
    <t xml:space="preserve">7</t>
  </si>
  <si>
    <t xml:space="preserve">Recuperación Cabeza</t>
  </si>
  <si>
    <t xml:space="preserve">Tirada 2d12+1d6 — análisis de la regla de incapacitación</t>
  </si>
  <si>
    <t xml:space="preserve">8</t>
  </si>
  <si>
    <t xml:space="preserve">Simulación Combate</t>
  </si>
  <si>
    <t xml:space="preserve">Simulación completa de un intercambio de golpes</t>
  </si>
  <si>
    <t xml:space="preserve">LEYENDA DE COLORES</t>
  </si>
  <si>
    <t xml:space="preserve">  Celda de Entrada — Modifica estos valores para explorar escenarios</t>
  </si>
  <si>
    <t xml:space="preserve">  Fórmula calculada — No modificar</t>
  </si>
  <si>
    <t xml:space="preserve">  Resultado favorable / alta probabilidad</t>
  </si>
  <si>
    <t xml:space="preserve">  Resultado desfavorable / baja probabilidad</t>
  </si>
  <si>
    <t xml:space="preserve">  Dato de referencia / dato fijo del sistema</t>
  </si>
  <si>
    <t xml:space="preserve">DISTRIBUCIÓN DEL DADO DE 12 CARAS (1d12)</t>
  </si>
  <si>
    <t xml:space="preserve">Resultado</t>
  </si>
  <si>
    <t xml:space="preserve">Prob. Exacta</t>
  </si>
  <si>
    <t xml:space="preserve">% Exacto</t>
  </si>
  <si>
    <t xml:space="preserve">Prob. ≤ X</t>
  </si>
  <si>
    <t xml:space="preserve">Prob. ≥ X</t>
  </si>
  <si>
    <t xml:space="preserve">Descripción</t>
  </si>
  <si>
    <t xml:space="preserve">Mínimo absoluto</t>
  </si>
  <si>
    <t xml:space="preserve">—</t>
  </si>
  <si>
    <t xml:space="preserve">Valor medio</t>
  </si>
  <si>
    <t xml:space="preserve">Máximo absoluto</t>
  </si>
  <si>
    <t xml:space="preserve">ESTADÍSTICAS DEL d12</t>
  </si>
  <si>
    <t xml:space="preserve">Media (Valor Esperado)</t>
  </si>
  <si>
    <t xml:space="preserve">Desviación Estándar</t>
  </si>
  <si>
    <t xml:space="preserve">Mediana</t>
  </si>
  <si>
    <t xml:space="preserve">Moda</t>
  </si>
  <si>
    <t xml:space="preserve">Ninguna (uniforme)</t>
  </si>
  <si>
    <t xml:space="preserve">PROBABILIDAD DE IMPACTO — 1d12 + STAT ATACANTE vs 1d12 + STAT DEFENSOR</t>
  </si>
  <si>
    <t xml:space="preserve">Cada celda muestra: % de probabilidad de que el ATACANTE supere o iguale al DEFENSOR</t>
  </si>
  <si>
    <t xml:space="preserve">ATK stat →  DEF stat ↓</t>
  </si>
  <si>
    <t xml:space="preserve">DEF +1</t>
  </si>
  <si>
    <t xml:space="preserve">DEF +2</t>
  </si>
  <si>
    <t xml:space="preserve">DEF +3</t>
  </si>
  <si>
    <t xml:space="preserve">DEF +4</t>
  </si>
  <si>
    <t xml:space="preserve">DEF +5</t>
  </si>
  <si>
    <t xml:space="preserve">DEF +6</t>
  </si>
  <si>
    <t xml:space="preserve">ATK +1</t>
  </si>
  <si>
    <t xml:space="preserve">ATK +2</t>
  </si>
  <si>
    <t xml:space="preserve">ATK +3</t>
  </si>
  <si>
    <t xml:space="preserve">ATK +4</t>
  </si>
  <si>
    <t xml:space="preserve">ATK +5</t>
  </si>
  <si>
    <t xml:space="preserve">ATK +6</t>
  </si>
  <si>
    <t xml:space="preserve">NOTA: Sin modificadores. Los modificadores (-4 a +4) se analizan en la Hoja 3.</t>
  </si>
  <si>
    <t xml:space="preserve">IMPACTO DE LOS MODIFICADORES EN LA TIRADA (−4 a +4)</t>
  </si>
  <si>
    <t xml:space="preserve">¿Cuánto cambia la probabilidad de éxito al sumar o restar hasta 4 al total del atacante? (Stat fijo = 3, Defensor stat = 3, sin mod defensor)</t>
  </si>
  <si>
    <t xml:space="preserve">Stat ATK / Mod →</t>
  </si>
  <si>
    <t xml:space="preserve">Mod -4</t>
  </si>
  <si>
    <t xml:space="preserve">Mod -3</t>
  </si>
  <si>
    <t xml:space="preserve">Mod -2</t>
  </si>
  <si>
    <t xml:space="preserve">Mod -1</t>
  </si>
  <si>
    <t xml:space="preserve">Mod +0</t>
  </si>
  <si>
    <t xml:space="preserve">Mod +1</t>
  </si>
  <si>
    <t xml:space="preserve">Mod +2</t>
  </si>
  <si>
    <t xml:space="preserve">Mod +3</t>
  </si>
  <si>
    <t xml:space="preserve">Mod +4</t>
  </si>
  <si>
    <t xml:space="preserve">ATK Stat +1  (vs DEF Stat+3, Mod 0)</t>
  </si>
  <si>
    <t xml:space="preserve">ATK Stat +2  (vs DEF Stat+3, Mod 0)</t>
  </si>
  <si>
    <t xml:space="preserve">ATK Stat +3  (vs DEF Stat+3, Mod 0)</t>
  </si>
  <si>
    <t xml:space="preserve">ATK Stat +4  (vs DEF Stat+3, Mod 0)</t>
  </si>
  <si>
    <t xml:space="preserve">ATK Stat +5  (vs DEF Stat+3, Mod 0)</t>
  </si>
  <si>
    <t xml:space="preserve">ATK Stat +6  (vs DEF Stat+3, Mod 0)</t>
  </si>
  <si>
    <t xml:space="preserve">REGLA: Los modificadores totales no pueden superar +4 ni bajar de -4 (sin importar cuántos se acumulen).</t>
  </si>
  <si>
    <t xml:space="preserve">TABLA DE LOCALIZACIÓN DE DAÑO — 1d100</t>
  </si>
  <si>
    <t xml:space="preserve">Zona</t>
  </si>
  <si>
    <t xml:space="preserve">Rango 1d100</t>
  </si>
  <si>
    <t xml:space="preserve">Nº Valores</t>
  </si>
  <si>
    <t xml:space="preserve">% Frecuencia</t>
  </si>
  <si>
    <t xml:space="preserve">PV Máx.</t>
  </si>
  <si>
    <t xml:space="preserve">Efecto a 0 PV</t>
  </si>
  <si>
    <t xml:space="preserve">Cuerpo</t>
  </si>
  <si>
    <t xml:space="preserve">01–65</t>
  </si>
  <si>
    <t xml:space="preserve">ELIMINADA</t>
  </si>
  <si>
    <t xml:space="preserve">Piernas</t>
  </si>
  <si>
    <t xml:space="preserve">66–80</t>
  </si>
  <si>
    <t xml:space="preserve">MOV × 50%</t>
  </si>
  <si>
    <t xml:space="preserve">Brazos</t>
  </si>
  <si>
    <t xml:space="preserve">81–95</t>
  </si>
  <si>
    <t xml:space="preserve">Solo Magia</t>
  </si>
  <si>
    <t xml:space="preserve">Cabeza</t>
  </si>
  <si>
    <t xml:space="preserve">96–100</t>
  </si>
  <si>
    <t xml:space="preserve">Incapacitada</t>
  </si>
  <si>
    <t xml:space="preserve">El dado de 100 ya se tira en el pool de ataque. Solo se lee si el ataque impacta.</t>
  </si>
  <si>
    <t xml:space="preserve">FLUJO DE DAÑO POR ZONA</t>
  </si>
  <si>
    <t xml:space="preserve">Cuerpo → Piernas → Brazos → Cabeza  (el daño no se transfiere entre zonas)</t>
  </si>
  <si>
    <t xml:space="preserve">DAÑO NETO ESPERADO — Arma vs. Reducción de Daño (RD)</t>
  </si>
  <si>
    <t xml:space="preserve">⚙ PARÁMETROS DE ENTRADA</t>
  </si>
  <si>
    <t xml:space="preserve">Daño Base del Arma</t>
  </si>
  <si>
    <t xml:space="preserve">Modificador de Daño (−4 a +4)</t>
  </si>
  <si>
    <t xml:space="preserve">Daño Total (con mod capped)</t>
  </si>
  <si>
    <t xml:space="preserve">DAÑO NETO POR ZONA según RD (Daño Total − RD, mínimo 0)</t>
  </si>
  <si>
    <t xml:space="preserve">Zona / RD →</t>
  </si>
  <si>
    <t xml:space="preserve">RD 0</t>
  </si>
  <si>
    <t xml:space="preserve">RD 1</t>
  </si>
  <si>
    <t xml:space="preserve">RD 2</t>
  </si>
  <si>
    <t xml:space="preserve">RD 3</t>
  </si>
  <si>
    <t xml:space="preserve">RD 4</t>
  </si>
  <si>
    <t xml:space="preserve">RD 5</t>
  </si>
  <si>
    <t xml:space="preserve">RD 6</t>
  </si>
  <si>
    <t xml:space="preserve">Fórmula: Daño Neto = MAX(0, Daño del Arma + Mod − RD de la Zona)</t>
  </si>
  <si>
    <t xml:space="preserve">PROBABILIDAD DE APLICAR ESTADO NEGATIVO — 1d6 + Mod Efecto vs 1d6 + Resistencia</t>
  </si>
  <si>
    <t xml:space="preserve">Cada celda: % de que el atacante supere la resistencia. Efecto en filas, Resistencia en columnas.</t>
  </si>
  <si>
    <t xml:space="preserve">Mod Efecto ↓ / Mod Res →</t>
  </si>
  <si>
    <t xml:space="preserve">Res -4</t>
  </si>
  <si>
    <t xml:space="preserve">Res -3</t>
  </si>
  <si>
    <t xml:space="preserve">Res -2</t>
  </si>
  <si>
    <t xml:space="preserve">Res -1</t>
  </si>
  <si>
    <t xml:space="preserve">Res +0</t>
  </si>
  <si>
    <t xml:space="preserve">Res +1</t>
  </si>
  <si>
    <t xml:space="preserve">Res +2</t>
  </si>
  <si>
    <t xml:space="preserve">Res +3</t>
  </si>
  <si>
    <t xml:space="preserve">Res +4</t>
  </si>
  <si>
    <t xml:space="preserve">Efecto -4</t>
  </si>
  <si>
    <t xml:space="preserve">Efecto -3</t>
  </si>
  <si>
    <t xml:space="preserve">Efecto -2</t>
  </si>
  <si>
    <t xml:space="preserve">Efecto -1</t>
  </si>
  <si>
    <t xml:space="preserve">Efecto +0</t>
  </si>
  <si>
    <t xml:space="preserve">Efecto +1</t>
  </si>
  <si>
    <t xml:space="preserve">Efecto +2</t>
  </si>
  <si>
    <t xml:space="preserve">Efecto +3</t>
  </si>
  <si>
    <t xml:space="preserve">Efecto +4</t>
  </si>
  <si>
    <t xml:space="preserve">El efecto se aplica si el resultado del atacante SUPERA (no solo iguala) la resistencia del defensor.</t>
  </si>
  <si>
    <t xml:space="preserve">TIRADA DE RECUPERACIÓN DE INCAPACITACIÓN (2d12 + 1d6)</t>
  </si>
  <si>
    <t xml:space="preserve">Regla: Si 1d6 sale 1-3 → tomar el MENOR de 2d12. Si 1d6 sale 4-6 → tomar el MAYOR. Éxito si resultado ≥ 8.</t>
  </si>
  <si>
    <t xml:space="preserve">Escenario</t>
  </si>
  <si>
    <t xml:space="preserve">Combinaciones Éxito</t>
  </si>
  <si>
    <t xml:space="preserve">Total Posible</t>
  </si>
  <si>
    <t xml:space="preserve">Probabilidad</t>
  </si>
  <si>
    <t xml:space="preserve">1d6 ∈ {1,2,3} → MENOR de 2d12 ≥ 8</t>
  </si>
  <si>
    <t xml:space="preserve">1d6 ∈ {4,5,6} → MAYOR de 2d12 ≥ 8</t>
  </si>
  <si>
    <t xml:space="preserve">TOTAL — Cualquier combinación exitosa</t>
  </si>
  <si>
    <t xml:space="preserve">Probabilidad de Recuperación por Ronda: 41.7% ≈ 41.7%</t>
  </si>
  <si>
    <t xml:space="preserve">DISTRIBUCIÓN: MAYOR y MENOR de 2d12</t>
  </si>
  <si>
    <t xml:space="preserve">Valor</t>
  </si>
  <si>
    <t xml:space="preserve">P(MIN = x)</t>
  </si>
  <si>
    <t xml:space="preserve">P(MAX = x)</t>
  </si>
  <si>
    <t xml:space="preserve">P(MIN ≥ 8)</t>
  </si>
  <si>
    <t xml:space="preserve">P(MAX ≥ 8)</t>
  </si>
  <si>
    <t xml:space="preserve">SIMULACIÓN COMPLETA DE UN INTERCAMBIO DE COMBATE</t>
  </si>
  <si>
    <t xml:space="preserve">Modifica las celdas azules. Las fórmulas calculan las probabilidades de cada paso del combate.</t>
  </si>
  <si>
    <t xml:space="preserve">⚔ ATACANTE</t>
  </si>
  <si>
    <t xml:space="preserve">🛡 DEFENSOR</t>
  </si>
  <si>
    <t xml:space="preserve">Stat de Ataque (1–6)</t>
  </si>
  <si>
    <t xml:space="preserve">Stat Defensa (Bloq/Ref) (1–6)</t>
  </si>
  <si>
    <t xml:space="preserve">Modificador (−4 a +4)</t>
  </si>
  <si>
    <t xml:space="preserve">PV Cuerpo Máx.</t>
  </si>
  <si>
    <t xml:space="preserve">Mod Daño (−4 a +4)</t>
  </si>
  <si>
    <t xml:space="preserve">RD Cuerpo</t>
  </si>
  <si>
    <t xml:space="preserve">Mod Efecto Estado (−4 a +4)</t>
  </si>
  <si>
    <t xml:space="preserve">Resistencia (Fís/Mág) (1–6)</t>
  </si>
  <si>
    <t xml:space="preserve">Mod Ataque TOTAL (capped)</t>
  </si>
  <si>
    <t xml:space="preserve">Mod Defensa TOTAL (capped)</t>
  </si>
  <si>
    <t xml:space="preserve">📊 RESULTADOS CALCULADOS</t>
  </si>
  <si>
    <t xml:space="preserve">Prob. de Impacto (Ataque supera Defensa)</t>
  </si>
  <si>
    <t xml:space="preserve">Daño Neto Esperado (si impacta)</t>
  </si>
  <si>
    <t xml:space="preserve">Daño Neto Mínimo (si impacta, RD restada)</t>
  </si>
  <si>
    <t xml:space="preserve">Prob. de Aplicar Estado (dado Efecto supera Resistencia)</t>
  </si>
  <si>
    <t xml:space="preserve">Prob. Impacto Y Estado (ambos en mismo ataque)</t>
  </si>
  <si>
    <t xml:space="preserve">Golpes para eliminar Cuerpo en promedio</t>
  </si>
  <si>
    <t xml:space="preserve">INTERPRETACIÓN: 'Golpes para eliminar' = PV Cuerpo / (Prob.Impacto × Daño Neto). Cuanto menor, más letal el atacante.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</si>
</sst>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0.00\%"/>
    <numFmt numFmtId="167" formatCode="0.00%"/>
    <numFmt numFmtId="168" formatCode="0.000"/>
    <numFmt numFmtId="169" formatCode="0%"/>
    <numFmt numFmtId="170" formatCode="0.0%"/>
    <numFmt numFmtId="171" formatCode="0"/>
    <numFmt numFmtId="172" formatCode="0.0"/>
    <numFmt numFmtId="173" formatCode="0.0&quot;  ataques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E0B0B"/>
      <name val="Arial"/>
      <family val="0"/>
      <charset val="1"/>
    </font>
    <font>
      <i val="true"/>
      <sz val="11"/>
      <color rgb="FF4A4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F497D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274E13"/>
      <name val="Arial"/>
      <family val="0"/>
      <charset val="1"/>
    </font>
    <font>
      <sz val="10"/>
      <color rgb="FF8E0B0B"/>
      <name val="Arial"/>
      <family val="0"/>
      <charset val="1"/>
    </font>
    <font>
      <b val="true"/>
      <sz val="14"/>
      <color rgb="FF8E0B0B"/>
      <name val="Arial"/>
      <family val="0"/>
      <charset val="1"/>
    </font>
    <font>
      <i val="true"/>
      <sz val="10"/>
      <color rgb="FF4A4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A4A4A"/>
      <name val="Arial"/>
      <family val="0"/>
      <charset val="1"/>
    </font>
    <font>
      <b val="true"/>
      <sz val="10"/>
      <color rgb="FF8E0B0B"/>
      <name val="Arial"/>
      <family val="0"/>
      <charset val="1"/>
    </font>
    <font>
      <b val="true"/>
      <sz val="11"/>
      <color rgb="FF8E0B0B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b val="true"/>
      <sz val="12"/>
      <color rgb="FF8E0B0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8E0B0B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D4AF37"/>
        <bgColor rgb="FFFFCC00"/>
      </patternFill>
    </fill>
    <fill>
      <patternFill patternType="solid">
        <fgColor rgb="FFCFE2F3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CFE2F3"/>
      </patternFill>
    </fill>
    <fill>
      <patternFill patternType="solid">
        <fgColor rgb="FFF4CCCC"/>
        <bgColor rgb="FFCCCCCC"/>
      </patternFill>
    </fill>
    <fill>
      <patternFill patternType="solid">
        <fgColor rgb="FFFFF2CC"/>
        <bgColor rgb="FFF2F2F2"/>
      </patternFill>
    </fill>
    <fill>
      <patternFill patternType="solid">
        <fgColor rgb="FF1A1A1A"/>
        <bgColor rgb="FF000000"/>
      </patternFill>
    </fill>
    <fill>
      <patternFill patternType="solid">
        <fgColor rgb="FFE6B8A2"/>
        <bgColor rgb="FFF4CCCC"/>
      </patternFill>
    </fill>
    <fill>
      <patternFill patternType="solid">
        <fgColor rgb="FF1F497D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0B0B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E6B8A2"/>
      <rgbColor rgb="FFCC99FF"/>
      <rgbColor rgb="FFF4CCCC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339966"/>
      <rgbColor rgb="FF1A1A1A"/>
      <rgbColor rgb="FF274E13"/>
      <rgbColor rgb="FF993300"/>
      <rgbColor rgb="FF993366"/>
      <rgbColor rgb="FF1F497D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18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18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 t="s">
        <v>3</v>
      </c>
      <c r="D5" s="3" t="s">
        <v>4</v>
      </c>
    </row>
    <row r="6" customFormat="false" ht="18" hidden="false" customHeight="true" outlineLevel="0" collapsed="false">
      <c r="B6" s="4" t="s">
        <v>5</v>
      </c>
      <c r="C6" s="4" t="s">
        <v>6</v>
      </c>
      <c r="D6" s="5" t="s">
        <v>7</v>
      </c>
    </row>
    <row r="7" customFormat="false" ht="18" hidden="false" customHeight="true" outlineLevel="0" collapsed="false">
      <c r="B7" s="4" t="s">
        <v>8</v>
      </c>
      <c r="C7" s="4" t="s">
        <v>9</v>
      </c>
      <c r="D7" s="5" t="s">
        <v>10</v>
      </c>
    </row>
    <row r="8" customFormat="false" ht="18" hidden="false" customHeight="true" outlineLevel="0" collapsed="false">
      <c r="B8" s="4" t="s">
        <v>11</v>
      </c>
      <c r="C8" s="4" t="s">
        <v>12</v>
      </c>
      <c r="D8" s="5" t="s">
        <v>13</v>
      </c>
    </row>
    <row r="9" customFormat="false" ht="18" hidden="false" customHeight="true" outlineLevel="0" collapsed="false">
      <c r="B9" s="4" t="s">
        <v>14</v>
      </c>
      <c r="C9" s="4" t="s">
        <v>15</v>
      </c>
      <c r="D9" s="5" t="s">
        <v>16</v>
      </c>
    </row>
    <row r="10" customFormat="false" ht="18" hidden="false" customHeight="true" outlineLevel="0" collapsed="false">
      <c r="B10" s="4" t="s">
        <v>17</v>
      </c>
      <c r="C10" s="4" t="s">
        <v>18</v>
      </c>
      <c r="D10" s="5" t="s">
        <v>19</v>
      </c>
    </row>
    <row r="11" customFormat="false" ht="18" hidden="false" customHeight="true" outlineLevel="0" collapsed="false">
      <c r="B11" s="4" t="s">
        <v>20</v>
      </c>
      <c r="C11" s="4" t="s">
        <v>21</v>
      </c>
      <c r="D11" s="5" t="s">
        <v>22</v>
      </c>
    </row>
    <row r="12" customFormat="false" ht="18" hidden="false" customHeight="true" outlineLevel="0" collapsed="false">
      <c r="B12" s="4" t="s">
        <v>23</v>
      </c>
      <c r="C12" s="4" t="s">
        <v>24</v>
      </c>
      <c r="D12" s="5" t="s">
        <v>25</v>
      </c>
    </row>
    <row r="13" customFormat="false" ht="18" hidden="false" customHeight="true" outlineLevel="0" collapsed="false">
      <c r="B13" s="4" t="s">
        <v>26</v>
      </c>
      <c r="C13" s="4" t="s">
        <v>27</v>
      </c>
      <c r="D13" s="5" t="s">
        <v>28</v>
      </c>
    </row>
    <row r="15" customFormat="false" ht="19.5" hidden="false" customHeight="true" outlineLevel="0" collapsed="false">
      <c r="B15" s="6" t="s">
        <v>29</v>
      </c>
      <c r="C15" s="6"/>
      <c r="D15" s="6"/>
    </row>
    <row r="16" customFormat="false" ht="18" hidden="false" customHeight="true" outlineLevel="0" collapsed="false">
      <c r="B16" s="7" t="s">
        <v>30</v>
      </c>
      <c r="C16" s="7"/>
      <c r="D16" s="7"/>
    </row>
    <row r="17" customFormat="false" ht="18" hidden="false" customHeight="true" outlineLevel="0" collapsed="false">
      <c r="B17" s="8" t="s">
        <v>31</v>
      </c>
      <c r="C17" s="8"/>
      <c r="D17" s="8"/>
    </row>
    <row r="18" customFormat="false" ht="18" hidden="false" customHeight="true" outlineLevel="0" collapsed="false">
      <c r="B18" s="9" t="s">
        <v>32</v>
      </c>
      <c r="C18" s="9"/>
      <c r="D18" s="9"/>
    </row>
    <row r="19" customFormat="false" ht="18" hidden="false" customHeight="true" outlineLevel="0" collapsed="false">
      <c r="B19" s="10" t="s">
        <v>33</v>
      </c>
      <c r="C19" s="10"/>
      <c r="D19" s="10"/>
    </row>
    <row r="20" customFormat="false" ht="18" hidden="false" customHeight="true" outlineLevel="0" collapsed="false">
      <c r="B20" s="11" t="s">
        <v>34</v>
      </c>
      <c r="C20" s="11"/>
      <c r="D20" s="11"/>
    </row>
  </sheetData>
  <mergeCells count="8">
    <mergeCell ref="B2:D2"/>
    <mergeCell ref="B3:D3"/>
    <mergeCell ref="B15:D15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7" min="4" style="0" width="18"/>
    <col collapsed="false" customWidth="true" hidden="false" outlineLevel="0" max="8" min="8" style="0" width="4"/>
  </cols>
  <sheetData>
    <row r="2" customFormat="false" ht="27.75" hidden="false" customHeight="true" outlineLevel="0" collapsed="false">
      <c r="B2" s="12" t="s">
        <v>35</v>
      </c>
      <c r="C2" s="12"/>
      <c r="D2" s="12"/>
      <c r="E2" s="12"/>
      <c r="F2" s="12"/>
      <c r="G2" s="12"/>
    </row>
    <row r="4" customFormat="false" ht="19.5" hidden="false" customHeight="true" outlineLevel="0" collapsed="false"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</row>
    <row r="5" customFormat="false" ht="16.5" hidden="false" customHeight="true" outlineLevel="0" collapsed="false">
      <c r="B5" s="13" t="n">
        <v>1</v>
      </c>
      <c r="C5" s="14" t="n">
        <f aca="false">1/12</f>
        <v>0.0833333333333333</v>
      </c>
      <c r="D5" s="15" t="n">
        <f aca="false">C5/1*100</f>
        <v>8.33333333333333</v>
      </c>
      <c r="E5" s="16" t="n">
        <f aca="false">B5/12</f>
        <v>0.0833333333333333</v>
      </c>
      <c r="F5" s="16" t="n">
        <f aca="false">(12-B5+1)/12</f>
        <v>1</v>
      </c>
      <c r="G5" s="5" t="s">
        <v>42</v>
      </c>
    </row>
    <row r="6" customFormat="false" ht="16.5" hidden="false" customHeight="true" outlineLevel="0" collapsed="false">
      <c r="B6" s="13" t="n">
        <v>2</v>
      </c>
      <c r="C6" s="14" t="n">
        <f aca="false">1/12</f>
        <v>0.0833333333333333</v>
      </c>
      <c r="D6" s="15" t="n">
        <f aca="false">C6/1*100</f>
        <v>8.33333333333333</v>
      </c>
      <c r="E6" s="16" t="n">
        <f aca="false">B6/12</f>
        <v>0.166666666666667</v>
      </c>
      <c r="F6" s="16" t="n">
        <f aca="false">(12-B6+1)/12</f>
        <v>0.916666666666667</v>
      </c>
      <c r="G6" s="5" t="s">
        <v>43</v>
      </c>
    </row>
    <row r="7" customFormat="false" ht="16.5" hidden="false" customHeight="true" outlineLevel="0" collapsed="false">
      <c r="B7" s="13" t="n">
        <v>3</v>
      </c>
      <c r="C7" s="14" t="n">
        <f aca="false">1/12</f>
        <v>0.0833333333333333</v>
      </c>
      <c r="D7" s="15" t="n">
        <f aca="false">C7/1*100</f>
        <v>8.33333333333333</v>
      </c>
      <c r="E7" s="16" t="n">
        <f aca="false">B7/12</f>
        <v>0.25</v>
      </c>
      <c r="F7" s="16" t="n">
        <f aca="false">(12-B7+1)/12</f>
        <v>0.833333333333333</v>
      </c>
      <c r="G7" s="5" t="s">
        <v>43</v>
      </c>
    </row>
    <row r="8" customFormat="false" ht="16.5" hidden="false" customHeight="true" outlineLevel="0" collapsed="false">
      <c r="B8" s="13" t="n">
        <v>4</v>
      </c>
      <c r="C8" s="14" t="n">
        <f aca="false">1/12</f>
        <v>0.0833333333333333</v>
      </c>
      <c r="D8" s="15" t="n">
        <f aca="false">C8/1*100</f>
        <v>8.33333333333333</v>
      </c>
      <c r="E8" s="16" t="n">
        <f aca="false">B8/12</f>
        <v>0.333333333333333</v>
      </c>
      <c r="F8" s="16" t="n">
        <f aca="false">(12-B8+1)/12</f>
        <v>0.75</v>
      </c>
      <c r="G8" s="5" t="s">
        <v>43</v>
      </c>
    </row>
    <row r="9" customFormat="false" ht="16.5" hidden="false" customHeight="true" outlineLevel="0" collapsed="false">
      <c r="B9" s="13" t="n">
        <v>5</v>
      </c>
      <c r="C9" s="14" t="n">
        <f aca="false">1/12</f>
        <v>0.0833333333333333</v>
      </c>
      <c r="D9" s="15" t="n">
        <f aca="false">C9/1*100</f>
        <v>8.33333333333333</v>
      </c>
      <c r="E9" s="16" t="n">
        <f aca="false">B9/12</f>
        <v>0.416666666666667</v>
      </c>
      <c r="F9" s="16" t="n">
        <f aca="false">(12-B9+1)/12</f>
        <v>0.666666666666667</v>
      </c>
      <c r="G9" s="5" t="s">
        <v>43</v>
      </c>
    </row>
    <row r="10" customFormat="false" ht="16.5" hidden="false" customHeight="true" outlineLevel="0" collapsed="false">
      <c r="B10" s="13" t="n">
        <v>6</v>
      </c>
      <c r="C10" s="14" t="n">
        <f aca="false">1/12</f>
        <v>0.0833333333333333</v>
      </c>
      <c r="D10" s="15" t="n">
        <f aca="false">C10/1*100</f>
        <v>8.33333333333333</v>
      </c>
      <c r="E10" s="16" t="n">
        <f aca="false">B10/12</f>
        <v>0.5</v>
      </c>
      <c r="F10" s="16" t="n">
        <f aca="false">(12-B10+1)/12</f>
        <v>0.583333333333333</v>
      </c>
      <c r="G10" s="5" t="s">
        <v>44</v>
      </c>
    </row>
    <row r="11" customFormat="false" ht="16.5" hidden="false" customHeight="true" outlineLevel="0" collapsed="false">
      <c r="B11" s="13" t="n">
        <v>7</v>
      </c>
      <c r="C11" s="14" t="n">
        <f aca="false">1/12</f>
        <v>0.0833333333333333</v>
      </c>
      <c r="D11" s="15" t="n">
        <f aca="false">C11/1*100</f>
        <v>8.33333333333333</v>
      </c>
      <c r="E11" s="16" t="n">
        <f aca="false">B11/12</f>
        <v>0.583333333333333</v>
      </c>
      <c r="F11" s="16" t="n">
        <f aca="false">(12-B11+1)/12</f>
        <v>0.5</v>
      </c>
      <c r="G11" s="5" t="s">
        <v>43</v>
      </c>
    </row>
    <row r="12" customFormat="false" ht="16.5" hidden="false" customHeight="true" outlineLevel="0" collapsed="false">
      <c r="B12" s="13" t="n">
        <v>8</v>
      </c>
      <c r="C12" s="14" t="n">
        <f aca="false">1/12</f>
        <v>0.0833333333333333</v>
      </c>
      <c r="D12" s="15" t="n">
        <f aca="false">C12/1*100</f>
        <v>8.33333333333333</v>
      </c>
      <c r="E12" s="16" t="n">
        <f aca="false">B12/12</f>
        <v>0.666666666666667</v>
      </c>
      <c r="F12" s="16" t="n">
        <f aca="false">(12-B12+1)/12</f>
        <v>0.416666666666667</v>
      </c>
      <c r="G12" s="5" t="s">
        <v>43</v>
      </c>
    </row>
    <row r="13" customFormat="false" ht="16.5" hidden="false" customHeight="true" outlineLevel="0" collapsed="false">
      <c r="B13" s="13" t="n">
        <v>9</v>
      </c>
      <c r="C13" s="14" t="n">
        <f aca="false">1/12</f>
        <v>0.0833333333333333</v>
      </c>
      <c r="D13" s="15" t="n">
        <f aca="false">C13/1*100</f>
        <v>8.33333333333333</v>
      </c>
      <c r="E13" s="16" t="n">
        <f aca="false">B13/12</f>
        <v>0.75</v>
      </c>
      <c r="F13" s="16" t="n">
        <f aca="false">(12-B13+1)/12</f>
        <v>0.333333333333333</v>
      </c>
      <c r="G13" s="5" t="s">
        <v>43</v>
      </c>
    </row>
    <row r="14" customFormat="false" ht="16.5" hidden="false" customHeight="true" outlineLevel="0" collapsed="false">
      <c r="B14" s="13" t="n">
        <v>10</v>
      </c>
      <c r="C14" s="14" t="n">
        <f aca="false">1/12</f>
        <v>0.0833333333333333</v>
      </c>
      <c r="D14" s="15" t="n">
        <f aca="false">C14/1*100</f>
        <v>8.33333333333333</v>
      </c>
      <c r="E14" s="16" t="n">
        <f aca="false">B14/12</f>
        <v>0.833333333333333</v>
      </c>
      <c r="F14" s="16" t="n">
        <f aca="false">(12-B14+1)/12</f>
        <v>0.25</v>
      </c>
      <c r="G14" s="5" t="s">
        <v>43</v>
      </c>
    </row>
    <row r="15" customFormat="false" ht="16.5" hidden="false" customHeight="true" outlineLevel="0" collapsed="false">
      <c r="B15" s="13" t="n">
        <v>11</v>
      </c>
      <c r="C15" s="14" t="n">
        <f aca="false">1/12</f>
        <v>0.0833333333333333</v>
      </c>
      <c r="D15" s="15" t="n">
        <f aca="false">C15/1*100</f>
        <v>8.33333333333333</v>
      </c>
      <c r="E15" s="16" t="n">
        <f aca="false">B15/12</f>
        <v>0.916666666666667</v>
      </c>
      <c r="F15" s="16" t="n">
        <f aca="false">(12-B15+1)/12</f>
        <v>0.166666666666667</v>
      </c>
      <c r="G15" s="5" t="s">
        <v>43</v>
      </c>
    </row>
    <row r="16" customFormat="false" ht="16.5" hidden="false" customHeight="true" outlineLevel="0" collapsed="false">
      <c r="B16" s="13" t="n">
        <v>12</v>
      </c>
      <c r="C16" s="14" t="n">
        <f aca="false">1/12</f>
        <v>0.0833333333333333</v>
      </c>
      <c r="D16" s="15" t="n">
        <f aca="false">C16/1*100</f>
        <v>8.33333333333333</v>
      </c>
      <c r="E16" s="16" t="n">
        <f aca="false">B16/12</f>
        <v>1</v>
      </c>
      <c r="F16" s="16" t="n">
        <f aca="false">(12-B16+1)/12</f>
        <v>0.0833333333333333</v>
      </c>
      <c r="G16" s="5" t="s">
        <v>45</v>
      </c>
    </row>
    <row r="18" customFormat="false" ht="15" hidden="false" customHeight="false" outlineLevel="0" collapsed="false">
      <c r="B18" s="6" t="s">
        <v>46</v>
      </c>
      <c r="C18" s="6"/>
      <c r="D18" s="6"/>
      <c r="E18" s="6"/>
      <c r="F18" s="6"/>
      <c r="G18" s="6"/>
    </row>
    <row r="19" customFormat="false" ht="16.5" hidden="false" customHeight="true" outlineLevel="0" collapsed="false">
      <c r="B19" s="4" t="s">
        <v>47</v>
      </c>
      <c r="C19" s="17" t="n">
        <f aca="false">6.5</f>
        <v>6.5</v>
      </c>
    </row>
    <row r="20" customFormat="false" ht="16.5" hidden="false" customHeight="true" outlineLevel="0" collapsed="false">
      <c r="B20" s="4" t="s">
        <v>48</v>
      </c>
      <c r="C20" s="17" t="n">
        <f aca="false">SQRT((12^2-1)/12)</f>
        <v>3.45205252953466</v>
      </c>
    </row>
    <row r="21" customFormat="false" ht="16.5" hidden="false" customHeight="true" outlineLevel="0" collapsed="false">
      <c r="B21" s="4" t="s">
        <v>49</v>
      </c>
      <c r="C21" s="17" t="n">
        <f aca="false">6.5</f>
        <v>6.5</v>
      </c>
    </row>
    <row r="22" customFormat="false" ht="16.5" hidden="false" customHeight="true" outlineLevel="0" collapsed="false">
      <c r="B22" s="4" t="s">
        <v>50</v>
      </c>
      <c r="C22" s="17" t="s">
        <v>51</v>
      </c>
    </row>
  </sheetData>
  <mergeCells count="2">
    <mergeCell ref="B2:G2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14" min="3" style="0" width="8"/>
    <col collapsed="false" customWidth="true" hidden="false" outlineLevel="0" max="15" min="15" style="0" width="4"/>
  </cols>
  <sheetData>
    <row r="2" customFormat="false" ht="17.35" hidden="false" customHeight="false" outlineLevel="0" collapsed="false">
      <c r="B2" s="12" t="s">
        <v>52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customFormat="false" ht="15" hidden="false" customHeight="false" outlineLevel="0" collapsed="false">
      <c r="B3" s="18" t="s">
        <v>53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customFormat="false" ht="21.75" hidden="false" customHeight="true" outlineLevel="0" collapsed="false">
      <c r="B5" s="19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</row>
    <row r="6" customFormat="false" ht="18" hidden="false" customHeight="true" outlineLevel="0" collapsed="false">
      <c r="B6" s="4" t="s">
        <v>61</v>
      </c>
      <c r="C6" s="20" t="n">
        <f aca="false">78/144</f>
        <v>0.541666666666667</v>
      </c>
      <c r="D6" s="20" t="n">
        <f aca="false">66/144</f>
        <v>0.458333333333333</v>
      </c>
      <c r="E6" s="21" t="n">
        <f aca="false">55/144</f>
        <v>0.381944444444444</v>
      </c>
      <c r="F6" s="21" t="n">
        <f aca="false">45/144</f>
        <v>0.3125</v>
      </c>
      <c r="G6" s="21" t="n">
        <f aca="false">36/144</f>
        <v>0.25</v>
      </c>
      <c r="H6" s="21" t="n">
        <f aca="false">28/144</f>
        <v>0.194444444444444</v>
      </c>
    </row>
    <row r="7" customFormat="false" ht="18" hidden="false" customHeight="true" outlineLevel="0" collapsed="false">
      <c r="B7" s="4" t="s">
        <v>62</v>
      </c>
      <c r="C7" s="22" t="n">
        <f aca="false">89/144</f>
        <v>0.618055555555556</v>
      </c>
      <c r="D7" s="20" t="n">
        <f aca="false">78/144</f>
        <v>0.541666666666667</v>
      </c>
      <c r="E7" s="20" t="n">
        <f aca="false">66/144</f>
        <v>0.458333333333333</v>
      </c>
      <c r="F7" s="21" t="n">
        <f aca="false">55/144</f>
        <v>0.381944444444444</v>
      </c>
      <c r="G7" s="21" t="n">
        <f aca="false">45/144</f>
        <v>0.3125</v>
      </c>
      <c r="H7" s="21" t="n">
        <f aca="false">36/144</f>
        <v>0.25</v>
      </c>
    </row>
    <row r="8" customFormat="false" ht="18" hidden="false" customHeight="true" outlineLevel="0" collapsed="false">
      <c r="B8" s="4" t="s">
        <v>63</v>
      </c>
      <c r="C8" s="22" t="n">
        <f aca="false">99/144</f>
        <v>0.6875</v>
      </c>
      <c r="D8" s="22" t="n">
        <f aca="false">89/144</f>
        <v>0.618055555555556</v>
      </c>
      <c r="E8" s="20" t="n">
        <f aca="false">78/144</f>
        <v>0.541666666666667</v>
      </c>
      <c r="F8" s="20" t="n">
        <f aca="false">66/144</f>
        <v>0.458333333333333</v>
      </c>
      <c r="G8" s="21" t="n">
        <f aca="false">55/144</f>
        <v>0.381944444444444</v>
      </c>
      <c r="H8" s="21" t="n">
        <f aca="false">45/144</f>
        <v>0.3125</v>
      </c>
    </row>
    <row r="9" customFormat="false" ht="18" hidden="false" customHeight="true" outlineLevel="0" collapsed="false">
      <c r="B9" s="4" t="s">
        <v>64</v>
      </c>
      <c r="C9" s="22" t="n">
        <f aca="false">108/144</f>
        <v>0.75</v>
      </c>
      <c r="D9" s="22" t="n">
        <f aca="false">99/144</f>
        <v>0.6875</v>
      </c>
      <c r="E9" s="22" t="n">
        <f aca="false">89/144</f>
        <v>0.618055555555556</v>
      </c>
      <c r="F9" s="20" t="n">
        <f aca="false">78/144</f>
        <v>0.541666666666667</v>
      </c>
      <c r="G9" s="20" t="n">
        <f aca="false">66/144</f>
        <v>0.458333333333333</v>
      </c>
      <c r="H9" s="21" t="n">
        <f aca="false">55/144</f>
        <v>0.381944444444444</v>
      </c>
    </row>
    <row r="10" customFormat="false" ht="18" hidden="false" customHeight="true" outlineLevel="0" collapsed="false">
      <c r="B10" s="4" t="s">
        <v>65</v>
      </c>
      <c r="C10" s="22" t="n">
        <f aca="false">116/144</f>
        <v>0.805555555555556</v>
      </c>
      <c r="D10" s="22" t="n">
        <f aca="false">108/144</f>
        <v>0.75</v>
      </c>
      <c r="E10" s="22" t="n">
        <f aca="false">99/144</f>
        <v>0.6875</v>
      </c>
      <c r="F10" s="22" t="n">
        <f aca="false">89/144</f>
        <v>0.618055555555556</v>
      </c>
      <c r="G10" s="20" t="n">
        <f aca="false">78/144</f>
        <v>0.541666666666667</v>
      </c>
      <c r="H10" s="20" t="n">
        <f aca="false">66/144</f>
        <v>0.458333333333333</v>
      </c>
    </row>
    <row r="11" customFormat="false" ht="18" hidden="false" customHeight="true" outlineLevel="0" collapsed="false">
      <c r="B11" s="4" t="s">
        <v>66</v>
      </c>
      <c r="C11" s="22" t="n">
        <f aca="false">123/144</f>
        <v>0.854166666666667</v>
      </c>
      <c r="D11" s="22" t="n">
        <f aca="false">116/144</f>
        <v>0.805555555555556</v>
      </c>
      <c r="E11" s="22" t="n">
        <f aca="false">108/144</f>
        <v>0.75</v>
      </c>
      <c r="F11" s="22" t="n">
        <f aca="false">99/144</f>
        <v>0.6875</v>
      </c>
      <c r="G11" s="22" t="n">
        <f aca="false">89/144</f>
        <v>0.618055555555556</v>
      </c>
      <c r="H11" s="20" t="n">
        <f aca="false">78/144</f>
        <v>0.541666666666667</v>
      </c>
    </row>
    <row r="13" customFormat="false" ht="15" hidden="false" customHeight="false" outlineLevel="0" collapsed="false">
      <c r="B13" s="23" t="s">
        <v>67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</sheetData>
  <mergeCells count="3">
    <mergeCell ref="B2:N2"/>
    <mergeCell ref="B3:N3"/>
    <mergeCell ref="B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1" min="3" style="0" width="14"/>
    <col collapsed="false" customWidth="true" hidden="false" outlineLevel="0" max="12" min="12" style="0" width="4"/>
  </cols>
  <sheetData>
    <row r="2" customFormat="false" ht="17.35" hidden="false" customHeight="false" outlineLevel="0" collapsed="false">
      <c r="B2" s="12" t="s">
        <v>68</v>
      </c>
      <c r="C2" s="12"/>
      <c r="D2" s="12"/>
      <c r="E2" s="12"/>
      <c r="F2" s="12"/>
      <c r="G2" s="12"/>
      <c r="H2" s="12"/>
      <c r="I2" s="12"/>
      <c r="J2" s="12"/>
      <c r="K2" s="12"/>
    </row>
    <row r="3" customFormat="false" ht="15" hidden="false" customHeight="false" outlineLevel="0" collapsed="false">
      <c r="B3" s="18" t="s">
        <v>69</v>
      </c>
      <c r="C3" s="18"/>
      <c r="D3" s="18"/>
      <c r="E3" s="18"/>
      <c r="F3" s="18"/>
      <c r="G3" s="18"/>
      <c r="H3" s="18"/>
      <c r="I3" s="18"/>
      <c r="J3" s="18"/>
      <c r="K3" s="18"/>
    </row>
    <row r="5" customFormat="false" ht="21.75" hidden="false" customHeight="true" outlineLevel="0" collapsed="false">
      <c r="B5" s="19" t="s">
        <v>70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75</v>
      </c>
      <c r="H5" s="3" t="s">
        <v>76</v>
      </c>
      <c r="I5" s="3" t="s">
        <v>77</v>
      </c>
      <c r="J5" s="3" t="s">
        <v>78</v>
      </c>
      <c r="K5" s="3" t="s">
        <v>79</v>
      </c>
    </row>
    <row r="6" customFormat="false" ht="18" hidden="false" customHeight="true" outlineLevel="0" collapsed="false">
      <c r="B6" s="4" t="s">
        <v>80</v>
      </c>
      <c r="C6" s="21" t="n">
        <f aca="false">21/144</f>
        <v>0.145833333333333</v>
      </c>
      <c r="D6" s="21" t="n">
        <f aca="false">28/144</f>
        <v>0.194444444444444</v>
      </c>
      <c r="E6" s="21" t="n">
        <f aca="false">36/144</f>
        <v>0.25</v>
      </c>
      <c r="F6" s="21" t="n">
        <f aca="false">45/144</f>
        <v>0.3125</v>
      </c>
      <c r="G6" s="20" t="n">
        <f aca="false">55/144</f>
        <v>0.381944444444444</v>
      </c>
      <c r="H6" s="20" t="n">
        <f aca="false">66/144</f>
        <v>0.458333333333333</v>
      </c>
      <c r="I6" s="20" t="n">
        <f aca="false">78/144</f>
        <v>0.541666666666667</v>
      </c>
      <c r="J6" s="20" t="n">
        <f aca="false">89/144</f>
        <v>0.618055555555556</v>
      </c>
      <c r="K6" s="22" t="n">
        <f aca="false">99/144</f>
        <v>0.6875</v>
      </c>
    </row>
    <row r="7" customFormat="false" ht="18" hidden="false" customHeight="true" outlineLevel="0" collapsed="false">
      <c r="B7" s="4" t="s">
        <v>81</v>
      </c>
      <c r="C7" s="21" t="n">
        <f aca="false">28/144</f>
        <v>0.194444444444444</v>
      </c>
      <c r="D7" s="21" t="n">
        <f aca="false">36/144</f>
        <v>0.25</v>
      </c>
      <c r="E7" s="21" t="n">
        <f aca="false">45/144</f>
        <v>0.3125</v>
      </c>
      <c r="F7" s="20" t="n">
        <f aca="false">55/144</f>
        <v>0.381944444444444</v>
      </c>
      <c r="G7" s="20" t="n">
        <f aca="false">66/144</f>
        <v>0.458333333333333</v>
      </c>
      <c r="H7" s="20" t="n">
        <f aca="false">78/144</f>
        <v>0.541666666666667</v>
      </c>
      <c r="I7" s="20" t="n">
        <f aca="false">89/144</f>
        <v>0.618055555555556</v>
      </c>
      <c r="J7" s="22" t="n">
        <f aca="false">99/144</f>
        <v>0.6875</v>
      </c>
      <c r="K7" s="22" t="n">
        <f aca="false">108/144</f>
        <v>0.75</v>
      </c>
    </row>
    <row r="8" customFormat="false" ht="18" hidden="false" customHeight="true" outlineLevel="0" collapsed="false">
      <c r="B8" s="4" t="s">
        <v>82</v>
      </c>
      <c r="C8" s="21" t="n">
        <f aca="false">36/144</f>
        <v>0.25</v>
      </c>
      <c r="D8" s="21" t="n">
        <f aca="false">45/144</f>
        <v>0.3125</v>
      </c>
      <c r="E8" s="20" t="n">
        <f aca="false">55/144</f>
        <v>0.381944444444444</v>
      </c>
      <c r="F8" s="20" t="n">
        <f aca="false">66/144</f>
        <v>0.458333333333333</v>
      </c>
      <c r="G8" s="20" t="n">
        <f aca="false">78/144</f>
        <v>0.541666666666667</v>
      </c>
      <c r="H8" s="20" t="n">
        <f aca="false">89/144</f>
        <v>0.618055555555556</v>
      </c>
      <c r="I8" s="22" t="n">
        <f aca="false">99/144</f>
        <v>0.6875</v>
      </c>
      <c r="J8" s="22" t="n">
        <f aca="false">108/144</f>
        <v>0.75</v>
      </c>
      <c r="K8" s="22" t="n">
        <f aca="false">116/144</f>
        <v>0.805555555555556</v>
      </c>
    </row>
    <row r="9" customFormat="false" ht="18" hidden="false" customHeight="true" outlineLevel="0" collapsed="false">
      <c r="B9" s="4" t="s">
        <v>83</v>
      </c>
      <c r="C9" s="21" t="n">
        <f aca="false">45/144</f>
        <v>0.3125</v>
      </c>
      <c r="D9" s="20" t="n">
        <f aca="false">55/144</f>
        <v>0.381944444444444</v>
      </c>
      <c r="E9" s="20" t="n">
        <f aca="false">66/144</f>
        <v>0.458333333333333</v>
      </c>
      <c r="F9" s="20" t="n">
        <f aca="false">78/144</f>
        <v>0.541666666666667</v>
      </c>
      <c r="G9" s="20" t="n">
        <f aca="false">89/144</f>
        <v>0.618055555555556</v>
      </c>
      <c r="H9" s="22" t="n">
        <f aca="false">99/144</f>
        <v>0.6875</v>
      </c>
      <c r="I9" s="22" t="n">
        <f aca="false">108/144</f>
        <v>0.75</v>
      </c>
      <c r="J9" s="22" t="n">
        <f aca="false">116/144</f>
        <v>0.805555555555556</v>
      </c>
      <c r="K9" s="22" t="n">
        <f aca="false">123/144</f>
        <v>0.854166666666667</v>
      </c>
    </row>
    <row r="10" customFormat="false" ht="18" hidden="false" customHeight="true" outlineLevel="0" collapsed="false">
      <c r="B10" s="4" t="s">
        <v>84</v>
      </c>
      <c r="C10" s="20" t="n">
        <f aca="false">55/144</f>
        <v>0.381944444444444</v>
      </c>
      <c r="D10" s="20" t="n">
        <f aca="false">66/144</f>
        <v>0.458333333333333</v>
      </c>
      <c r="E10" s="20" t="n">
        <f aca="false">78/144</f>
        <v>0.541666666666667</v>
      </c>
      <c r="F10" s="20" t="n">
        <f aca="false">89/144</f>
        <v>0.618055555555556</v>
      </c>
      <c r="G10" s="22" t="n">
        <f aca="false">99/144</f>
        <v>0.6875</v>
      </c>
      <c r="H10" s="22" t="n">
        <f aca="false">108/144</f>
        <v>0.75</v>
      </c>
      <c r="I10" s="22" t="n">
        <f aca="false">116/144</f>
        <v>0.805555555555556</v>
      </c>
      <c r="J10" s="22" t="n">
        <f aca="false">123/144</f>
        <v>0.854166666666667</v>
      </c>
      <c r="K10" s="22" t="n">
        <f aca="false">129/144</f>
        <v>0.895833333333333</v>
      </c>
    </row>
    <row r="11" customFormat="false" ht="18" hidden="false" customHeight="true" outlineLevel="0" collapsed="false">
      <c r="B11" s="4" t="s">
        <v>85</v>
      </c>
      <c r="C11" s="20" t="n">
        <f aca="false">66/144</f>
        <v>0.458333333333333</v>
      </c>
      <c r="D11" s="20" t="n">
        <f aca="false">78/144</f>
        <v>0.541666666666667</v>
      </c>
      <c r="E11" s="20" t="n">
        <f aca="false">89/144</f>
        <v>0.618055555555556</v>
      </c>
      <c r="F11" s="22" t="n">
        <f aca="false">99/144</f>
        <v>0.6875</v>
      </c>
      <c r="G11" s="22" t="n">
        <f aca="false">108/144</f>
        <v>0.75</v>
      </c>
      <c r="H11" s="22" t="n">
        <f aca="false">116/144</f>
        <v>0.805555555555556</v>
      </c>
      <c r="I11" s="22" t="n">
        <f aca="false">123/144</f>
        <v>0.854166666666667</v>
      </c>
      <c r="J11" s="22" t="n">
        <f aca="false">129/144</f>
        <v>0.895833333333333</v>
      </c>
      <c r="K11" s="22" t="n">
        <f aca="false">134/144</f>
        <v>0.930555555555556</v>
      </c>
    </row>
    <row r="13" customFormat="false" ht="15" hidden="false" customHeight="false" outlineLevel="0" collapsed="false">
      <c r="B13" s="24" t="s">
        <v>86</v>
      </c>
      <c r="C13" s="24"/>
      <c r="D13" s="24"/>
      <c r="E13" s="24"/>
      <c r="F13" s="24"/>
      <c r="G13" s="24"/>
      <c r="H13" s="24"/>
      <c r="I13" s="24"/>
      <c r="J13" s="24"/>
      <c r="K13" s="24"/>
    </row>
  </sheetData>
  <mergeCells count="3">
    <mergeCell ref="B2:K2"/>
    <mergeCell ref="B3:K3"/>
    <mergeCell ref="B13:K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30"/>
    <col collapsed="false" customWidth="true" hidden="false" outlineLevel="0" max="8" min="8" style="0" width="4"/>
  </cols>
  <sheetData>
    <row r="2" customFormat="false" ht="17.35" hidden="false" customHeight="false" outlineLevel="0" collapsed="false">
      <c r="B2" s="12" t="s">
        <v>87</v>
      </c>
      <c r="C2" s="12"/>
      <c r="D2" s="12"/>
      <c r="E2" s="12"/>
      <c r="F2" s="12"/>
      <c r="G2" s="12"/>
    </row>
    <row r="4" customFormat="false" ht="19.5" hidden="false" customHeight="true" outlineLevel="0" collapsed="false"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</row>
    <row r="5" customFormat="false" ht="19.5" hidden="false" customHeight="true" outlineLevel="0" collapsed="false">
      <c r="B5" s="25" t="s">
        <v>94</v>
      </c>
      <c r="C5" s="26" t="s">
        <v>95</v>
      </c>
      <c r="D5" s="26" t="n">
        <v>65</v>
      </c>
      <c r="E5" s="27" t="n">
        <f aca="false">65/100</f>
        <v>0.65</v>
      </c>
      <c r="F5" s="26" t="n">
        <v>10</v>
      </c>
      <c r="G5" s="25" t="s">
        <v>96</v>
      </c>
    </row>
    <row r="6" customFormat="false" ht="19.5" hidden="false" customHeight="true" outlineLevel="0" collapsed="false">
      <c r="B6" s="28" t="s">
        <v>97</v>
      </c>
      <c r="C6" s="29" t="s">
        <v>98</v>
      </c>
      <c r="D6" s="29" t="n">
        <v>15</v>
      </c>
      <c r="E6" s="30" t="n">
        <f aca="false">15/100</f>
        <v>0.15</v>
      </c>
      <c r="F6" s="29" t="n">
        <v>6</v>
      </c>
      <c r="G6" s="28" t="s">
        <v>99</v>
      </c>
    </row>
    <row r="7" customFormat="false" ht="19.5" hidden="false" customHeight="true" outlineLevel="0" collapsed="false">
      <c r="B7" s="31" t="s">
        <v>100</v>
      </c>
      <c r="C7" s="32" t="s">
        <v>101</v>
      </c>
      <c r="D7" s="32" t="n">
        <v>15</v>
      </c>
      <c r="E7" s="33" t="n">
        <f aca="false">15/100</f>
        <v>0.15</v>
      </c>
      <c r="F7" s="32" t="n">
        <v>6</v>
      </c>
      <c r="G7" s="31" t="s">
        <v>102</v>
      </c>
    </row>
    <row r="8" customFormat="false" ht="19.5" hidden="false" customHeight="true" outlineLevel="0" collapsed="false">
      <c r="B8" s="34" t="s">
        <v>103</v>
      </c>
      <c r="C8" s="35" t="s">
        <v>104</v>
      </c>
      <c r="D8" s="35" t="n">
        <v>5</v>
      </c>
      <c r="E8" s="36" t="n">
        <f aca="false">5/100</f>
        <v>0.05</v>
      </c>
      <c r="F8" s="35" t="n">
        <v>4</v>
      </c>
      <c r="G8" s="34" t="s">
        <v>105</v>
      </c>
    </row>
    <row r="10" customFormat="false" ht="15" hidden="false" customHeight="false" outlineLevel="0" collapsed="false">
      <c r="B10" s="23" t="s">
        <v>106</v>
      </c>
      <c r="C10" s="23"/>
      <c r="D10" s="23"/>
      <c r="E10" s="23"/>
      <c r="F10" s="23"/>
      <c r="G10" s="23"/>
    </row>
    <row r="12" customFormat="false" ht="15" hidden="false" customHeight="false" outlineLevel="0" collapsed="false">
      <c r="B12" s="6" t="s">
        <v>107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B13" s="37" t="s">
        <v>108</v>
      </c>
      <c r="C13" s="37"/>
      <c r="D13" s="37"/>
      <c r="E13" s="37"/>
      <c r="F13" s="37"/>
      <c r="G13" s="37"/>
    </row>
  </sheetData>
  <mergeCells count="4">
    <mergeCell ref="B2:G2"/>
    <mergeCell ref="B10:G10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9" min="3" style="0" width="12"/>
    <col collapsed="false" customWidth="true" hidden="false" outlineLevel="0" max="10" min="10" style="0" width="4"/>
  </cols>
  <sheetData>
    <row r="2" customFormat="false" ht="17.35" hidden="false" customHeight="false" outlineLevel="0" collapsed="false">
      <c r="B2" s="12" t="s">
        <v>109</v>
      </c>
      <c r="C2" s="12"/>
      <c r="D2" s="12"/>
      <c r="E2" s="12"/>
      <c r="F2" s="12"/>
      <c r="G2" s="12"/>
      <c r="H2" s="12"/>
      <c r="I2" s="12"/>
    </row>
    <row r="4" customFormat="false" ht="15" hidden="false" customHeight="false" outlineLevel="0" collapsed="false">
      <c r="B4" s="6" t="s">
        <v>110</v>
      </c>
      <c r="C4" s="6"/>
      <c r="D4" s="6"/>
    </row>
    <row r="5" customFormat="false" ht="18" hidden="false" customHeight="true" outlineLevel="0" collapsed="false">
      <c r="B5" s="4" t="s">
        <v>111</v>
      </c>
      <c r="C5" s="38" t="n">
        <v>6</v>
      </c>
    </row>
    <row r="6" customFormat="false" ht="18" hidden="false" customHeight="true" outlineLevel="0" collapsed="false">
      <c r="B6" s="4" t="s">
        <v>112</v>
      </c>
      <c r="C6" s="38" t="n">
        <v>0</v>
      </c>
    </row>
    <row r="7" customFormat="false" ht="18" hidden="false" customHeight="true" outlineLevel="0" collapsed="false">
      <c r="B7" s="4" t="s">
        <v>113</v>
      </c>
      <c r="C7" s="13" t="n">
        <f aca="false">C5+MIN(MAX(C6,-4),4)</f>
        <v>6</v>
      </c>
    </row>
    <row r="9" customFormat="false" ht="15" hidden="false" customHeight="false" outlineLevel="0" collapsed="false">
      <c r="B9" s="6" t="s">
        <v>114</v>
      </c>
      <c r="C9" s="6"/>
      <c r="D9" s="6"/>
      <c r="E9" s="6"/>
      <c r="F9" s="6"/>
      <c r="G9" s="6"/>
      <c r="H9" s="6"/>
      <c r="I9" s="6"/>
    </row>
    <row r="10" customFormat="false" ht="19.5" hidden="false" customHeight="true" outlineLevel="0" collapsed="false">
      <c r="B10" s="19" t="s">
        <v>115</v>
      </c>
      <c r="C10" s="3" t="s">
        <v>116</v>
      </c>
      <c r="D10" s="3" t="s">
        <v>117</v>
      </c>
      <c r="E10" s="3" t="s">
        <v>118</v>
      </c>
      <c r="F10" s="3" t="s">
        <v>119</v>
      </c>
      <c r="G10" s="3" t="s">
        <v>120</v>
      </c>
      <c r="H10" s="3" t="s">
        <v>121</v>
      </c>
      <c r="I10" s="3" t="s">
        <v>122</v>
      </c>
    </row>
    <row r="11" customFormat="false" ht="18" hidden="false" customHeight="true" outlineLevel="0" collapsed="false">
      <c r="B11" s="4" t="s">
        <v>94</v>
      </c>
      <c r="C11" s="39" t="n">
        <f aca="false">MAX(0,$C$7-0)</f>
        <v>6</v>
      </c>
      <c r="D11" s="39" t="n">
        <f aca="false">MAX(0,$C$7-1)</f>
        <v>5</v>
      </c>
      <c r="E11" s="39" t="n">
        <f aca="false">MAX(0,$C$7-2)</f>
        <v>4</v>
      </c>
      <c r="F11" s="39" t="n">
        <f aca="false">MAX(0,$C$7-3)</f>
        <v>3</v>
      </c>
      <c r="G11" s="39" t="n">
        <f aca="false">MAX(0,$C$7-4)</f>
        <v>2</v>
      </c>
      <c r="H11" s="39" t="n">
        <f aca="false">MAX(0,$C$7-5)</f>
        <v>1</v>
      </c>
      <c r="I11" s="39" t="n">
        <f aca="false">MAX(0,$C$7-6)</f>
        <v>0</v>
      </c>
    </row>
    <row r="12" customFormat="false" ht="18" hidden="false" customHeight="true" outlineLevel="0" collapsed="false">
      <c r="B12" s="4" t="s">
        <v>97</v>
      </c>
      <c r="C12" s="39" t="n">
        <f aca="false">MAX(0,$C$7-0)</f>
        <v>6</v>
      </c>
      <c r="D12" s="39" t="n">
        <f aca="false">MAX(0,$C$7-1)</f>
        <v>5</v>
      </c>
      <c r="E12" s="39" t="n">
        <f aca="false">MAX(0,$C$7-2)</f>
        <v>4</v>
      </c>
      <c r="F12" s="39" t="n">
        <f aca="false">MAX(0,$C$7-3)</f>
        <v>3</v>
      </c>
      <c r="G12" s="39" t="n">
        <f aca="false">MAX(0,$C$7-4)</f>
        <v>2</v>
      </c>
      <c r="H12" s="39" t="n">
        <f aca="false">MAX(0,$C$7-5)</f>
        <v>1</v>
      </c>
      <c r="I12" s="39" t="n">
        <f aca="false">MAX(0,$C$7-6)</f>
        <v>0</v>
      </c>
    </row>
    <row r="13" customFormat="false" ht="18" hidden="false" customHeight="true" outlineLevel="0" collapsed="false">
      <c r="B13" s="4" t="s">
        <v>100</v>
      </c>
      <c r="C13" s="39" t="n">
        <f aca="false">MAX(0,$C$7-0)</f>
        <v>6</v>
      </c>
      <c r="D13" s="39" t="n">
        <f aca="false">MAX(0,$C$7-1)</f>
        <v>5</v>
      </c>
      <c r="E13" s="39" t="n">
        <f aca="false">MAX(0,$C$7-2)</f>
        <v>4</v>
      </c>
      <c r="F13" s="39" t="n">
        <f aca="false">MAX(0,$C$7-3)</f>
        <v>3</v>
      </c>
      <c r="G13" s="39" t="n">
        <f aca="false">MAX(0,$C$7-4)</f>
        <v>2</v>
      </c>
      <c r="H13" s="39" t="n">
        <f aca="false">MAX(0,$C$7-5)</f>
        <v>1</v>
      </c>
      <c r="I13" s="39" t="n">
        <f aca="false">MAX(0,$C$7-6)</f>
        <v>0</v>
      </c>
    </row>
    <row r="14" customFormat="false" ht="18" hidden="false" customHeight="true" outlineLevel="0" collapsed="false">
      <c r="B14" s="4" t="s">
        <v>103</v>
      </c>
      <c r="C14" s="39" t="n">
        <f aca="false">MAX(0,$C$7-0)</f>
        <v>6</v>
      </c>
      <c r="D14" s="39" t="n">
        <f aca="false">MAX(0,$C$7-1)</f>
        <v>5</v>
      </c>
      <c r="E14" s="39" t="n">
        <f aca="false">MAX(0,$C$7-2)</f>
        <v>4</v>
      </c>
      <c r="F14" s="39" t="n">
        <f aca="false">MAX(0,$C$7-3)</f>
        <v>3</v>
      </c>
      <c r="G14" s="39" t="n">
        <f aca="false">MAX(0,$C$7-4)</f>
        <v>2</v>
      </c>
      <c r="H14" s="39" t="n">
        <f aca="false">MAX(0,$C$7-5)</f>
        <v>1</v>
      </c>
      <c r="I14" s="39" t="n">
        <f aca="false">MAX(0,$C$7-6)</f>
        <v>0</v>
      </c>
    </row>
    <row r="16" customFormat="false" ht="15" hidden="false" customHeight="false" outlineLevel="0" collapsed="false">
      <c r="B16" s="24" t="s">
        <v>123</v>
      </c>
      <c r="C16" s="24"/>
      <c r="D16" s="24"/>
      <c r="E16" s="24"/>
      <c r="F16" s="24"/>
      <c r="G16" s="24"/>
      <c r="H16" s="24"/>
      <c r="I16" s="24"/>
    </row>
  </sheetData>
  <mergeCells count="4">
    <mergeCell ref="B2:I2"/>
    <mergeCell ref="B4:D4"/>
    <mergeCell ref="B9:I9"/>
    <mergeCell ref="B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12" min="3" style="0" width="10"/>
    <col collapsed="false" customWidth="true" hidden="false" outlineLevel="0" max="13" min="13" style="0" width="4"/>
  </cols>
  <sheetData>
    <row r="2" customFormat="false" ht="17.35" hidden="false" customHeight="false" outlineLevel="0" collapsed="false">
      <c r="B2" s="12" t="s">
        <v>124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15" hidden="false" customHeight="false" outlineLevel="0" collapsed="false">
      <c r="B3" s="18" t="s">
        <v>125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5" customFormat="false" ht="21.75" hidden="false" customHeight="true" outlineLevel="0" collapsed="false">
      <c r="B5" s="19" t="s">
        <v>126</v>
      </c>
      <c r="C5" s="3" t="s">
        <v>127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  <c r="I5" s="3" t="s">
        <v>133</v>
      </c>
      <c r="J5" s="3" t="s">
        <v>134</v>
      </c>
      <c r="K5" s="3" t="s">
        <v>135</v>
      </c>
    </row>
    <row r="6" customFormat="false" ht="18" hidden="false" customHeight="true" outlineLevel="0" collapsed="false">
      <c r="B6" s="4" t="s">
        <v>136</v>
      </c>
      <c r="C6" s="20" t="n">
        <f aca="false">15/36</f>
        <v>0.416666666666667</v>
      </c>
      <c r="D6" s="21" t="n">
        <f aca="false">10/36</f>
        <v>0.277777777777778</v>
      </c>
      <c r="E6" s="21" t="n">
        <f aca="false">6/36</f>
        <v>0.166666666666667</v>
      </c>
      <c r="F6" s="21" t="n">
        <f aca="false">3/36</f>
        <v>0.0833333333333333</v>
      </c>
      <c r="G6" s="21" t="n">
        <f aca="false">1/36</f>
        <v>0.0277777777777778</v>
      </c>
      <c r="H6" s="21" t="n">
        <f aca="false">0/36</f>
        <v>0</v>
      </c>
      <c r="I6" s="21" t="n">
        <f aca="false">0/36</f>
        <v>0</v>
      </c>
      <c r="J6" s="21" t="n">
        <f aca="false">0/36</f>
        <v>0</v>
      </c>
      <c r="K6" s="21" t="n">
        <f aca="false">0/36</f>
        <v>0</v>
      </c>
    </row>
    <row r="7" customFormat="false" ht="18" hidden="false" customHeight="true" outlineLevel="0" collapsed="false">
      <c r="B7" s="4" t="s">
        <v>137</v>
      </c>
      <c r="C7" s="20" t="n">
        <f aca="false">21/36</f>
        <v>0.583333333333333</v>
      </c>
      <c r="D7" s="20" t="n">
        <f aca="false">15/36</f>
        <v>0.416666666666667</v>
      </c>
      <c r="E7" s="21" t="n">
        <f aca="false">10/36</f>
        <v>0.277777777777778</v>
      </c>
      <c r="F7" s="21" t="n">
        <f aca="false">6/36</f>
        <v>0.166666666666667</v>
      </c>
      <c r="G7" s="21" t="n">
        <f aca="false">3/36</f>
        <v>0.0833333333333333</v>
      </c>
      <c r="H7" s="21" t="n">
        <f aca="false">1/36</f>
        <v>0.0277777777777778</v>
      </c>
      <c r="I7" s="21" t="n">
        <f aca="false">0/36</f>
        <v>0</v>
      </c>
      <c r="J7" s="21" t="n">
        <f aca="false">0/36</f>
        <v>0</v>
      </c>
      <c r="K7" s="21" t="n">
        <f aca="false">0/36</f>
        <v>0</v>
      </c>
    </row>
    <row r="8" customFormat="false" ht="18" hidden="false" customHeight="true" outlineLevel="0" collapsed="false">
      <c r="B8" s="4" t="s">
        <v>138</v>
      </c>
      <c r="C8" s="22" t="n">
        <f aca="false">26/36</f>
        <v>0.722222222222222</v>
      </c>
      <c r="D8" s="20" t="n">
        <f aca="false">21/36</f>
        <v>0.583333333333333</v>
      </c>
      <c r="E8" s="20" t="n">
        <f aca="false">15/36</f>
        <v>0.416666666666667</v>
      </c>
      <c r="F8" s="21" t="n">
        <f aca="false">10/36</f>
        <v>0.277777777777778</v>
      </c>
      <c r="G8" s="21" t="n">
        <f aca="false">6/36</f>
        <v>0.166666666666667</v>
      </c>
      <c r="H8" s="21" t="n">
        <f aca="false">3/36</f>
        <v>0.0833333333333333</v>
      </c>
      <c r="I8" s="21" t="n">
        <f aca="false">1/36</f>
        <v>0.0277777777777778</v>
      </c>
      <c r="J8" s="21" t="n">
        <f aca="false">0/36</f>
        <v>0</v>
      </c>
      <c r="K8" s="21" t="n">
        <f aca="false">0/36</f>
        <v>0</v>
      </c>
    </row>
    <row r="9" customFormat="false" ht="18" hidden="false" customHeight="true" outlineLevel="0" collapsed="false">
      <c r="B9" s="4" t="s">
        <v>139</v>
      </c>
      <c r="C9" s="22" t="n">
        <f aca="false">30/36</f>
        <v>0.833333333333333</v>
      </c>
      <c r="D9" s="22" t="n">
        <f aca="false">26/36</f>
        <v>0.722222222222222</v>
      </c>
      <c r="E9" s="20" t="n">
        <f aca="false">21/36</f>
        <v>0.583333333333333</v>
      </c>
      <c r="F9" s="20" t="n">
        <f aca="false">15/36</f>
        <v>0.416666666666667</v>
      </c>
      <c r="G9" s="21" t="n">
        <f aca="false">10/36</f>
        <v>0.277777777777778</v>
      </c>
      <c r="H9" s="21" t="n">
        <f aca="false">6/36</f>
        <v>0.166666666666667</v>
      </c>
      <c r="I9" s="21" t="n">
        <f aca="false">3/36</f>
        <v>0.0833333333333333</v>
      </c>
      <c r="J9" s="21" t="n">
        <f aca="false">1/36</f>
        <v>0.0277777777777778</v>
      </c>
      <c r="K9" s="21" t="n">
        <f aca="false">0/36</f>
        <v>0</v>
      </c>
    </row>
    <row r="10" customFormat="false" ht="18" hidden="false" customHeight="true" outlineLevel="0" collapsed="false">
      <c r="B10" s="4" t="s">
        <v>140</v>
      </c>
      <c r="C10" s="22" t="n">
        <f aca="false">33/36</f>
        <v>0.916666666666667</v>
      </c>
      <c r="D10" s="22" t="n">
        <f aca="false">30/36</f>
        <v>0.833333333333333</v>
      </c>
      <c r="E10" s="22" t="n">
        <f aca="false">26/36</f>
        <v>0.722222222222222</v>
      </c>
      <c r="F10" s="20" t="n">
        <f aca="false">21/36</f>
        <v>0.583333333333333</v>
      </c>
      <c r="G10" s="20" t="n">
        <f aca="false">15/36</f>
        <v>0.416666666666667</v>
      </c>
      <c r="H10" s="21" t="n">
        <f aca="false">10/36</f>
        <v>0.277777777777778</v>
      </c>
      <c r="I10" s="21" t="n">
        <f aca="false">6/36</f>
        <v>0.166666666666667</v>
      </c>
      <c r="J10" s="21" t="n">
        <f aca="false">3/36</f>
        <v>0.0833333333333333</v>
      </c>
      <c r="K10" s="21" t="n">
        <f aca="false">1/36</f>
        <v>0.0277777777777778</v>
      </c>
    </row>
    <row r="11" customFormat="false" ht="18" hidden="false" customHeight="true" outlineLevel="0" collapsed="false">
      <c r="B11" s="4" t="s">
        <v>141</v>
      </c>
      <c r="C11" s="22" t="n">
        <f aca="false">35/36</f>
        <v>0.972222222222222</v>
      </c>
      <c r="D11" s="22" t="n">
        <f aca="false">33/36</f>
        <v>0.916666666666667</v>
      </c>
      <c r="E11" s="22" t="n">
        <f aca="false">30/36</f>
        <v>0.833333333333333</v>
      </c>
      <c r="F11" s="22" t="n">
        <f aca="false">26/36</f>
        <v>0.722222222222222</v>
      </c>
      <c r="G11" s="20" t="n">
        <f aca="false">21/36</f>
        <v>0.583333333333333</v>
      </c>
      <c r="H11" s="20" t="n">
        <f aca="false">15/36</f>
        <v>0.416666666666667</v>
      </c>
      <c r="I11" s="21" t="n">
        <f aca="false">10/36</f>
        <v>0.277777777777778</v>
      </c>
      <c r="J11" s="21" t="n">
        <f aca="false">6/36</f>
        <v>0.166666666666667</v>
      </c>
      <c r="K11" s="21" t="n">
        <f aca="false">3/36</f>
        <v>0.0833333333333333</v>
      </c>
    </row>
    <row r="12" customFormat="false" ht="18" hidden="false" customHeight="true" outlineLevel="0" collapsed="false">
      <c r="B12" s="4" t="s">
        <v>142</v>
      </c>
      <c r="C12" s="22" t="n">
        <f aca="false">36/36</f>
        <v>1</v>
      </c>
      <c r="D12" s="22" t="n">
        <f aca="false">35/36</f>
        <v>0.972222222222222</v>
      </c>
      <c r="E12" s="22" t="n">
        <f aca="false">33/36</f>
        <v>0.916666666666667</v>
      </c>
      <c r="F12" s="22" t="n">
        <f aca="false">30/36</f>
        <v>0.833333333333333</v>
      </c>
      <c r="G12" s="22" t="n">
        <f aca="false">26/36</f>
        <v>0.722222222222222</v>
      </c>
      <c r="H12" s="20" t="n">
        <f aca="false">21/36</f>
        <v>0.583333333333333</v>
      </c>
      <c r="I12" s="20" t="n">
        <f aca="false">15/36</f>
        <v>0.416666666666667</v>
      </c>
      <c r="J12" s="21" t="n">
        <f aca="false">10/36</f>
        <v>0.277777777777778</v>
      </c>
      <c r="K12" s="21" t="n">
        <f aca="false">6/36</f>
        <v>0.166666666666667</v>
      </c>
    </row>
    <row r="13" customFormat="false" ht="18" hidden="false" customHeight="true" outlineLevel="0" collapsed="false">
      <c r="B13" s="4" t="s">
        <v>143</v>
      </c>
      <c r="C13" s="22" t="n">
        <f aca="false">36/36</f>
        <v>1</v>
      </c>
      <c r="D13" s="22" t="n">
        <f aca="false">36/36</f>
        <v>1</v>
      </c>
      <c r="E13" s="22" t="n">
        <f aca="false">35/36</f>
        <v>0.972222222222222</v>
      </c>
      <c r="F13" s="22" t="n">
        <f aca="false">33/36</f>
        <v>0.916666666666667</v>
      </c>
      <c r="G13" s="22" t="n">
        <f aca="false">30/36</f>
        <v>0.833333333333333</v>
      </c>
      <c r="H13" s="22" t="n">
        <f aca="false">26/36</f>
        <v>0.722222222222222</v>
      </c>
      <c r="I13" s="20" t="n">
        <f aca="false">21/36</f>
        <v>0.583333333333333</v>
      </c>
      <c r="J13" s="20" t="n">
        <f aca="false">15/36</f>
        <v>0.416666666666667</v>
      </c>
      <c r="K13" s="21" t="n">
        <f aca="false">10/36</f>
        <v>0.277777777777778</v>
      </c>
    </row>
    <row r="14" customFormat="false" ht="18" hidden="false" customHeight="true" outlineLevel="0" collapsed="false">
      <c r="B14" s="4" t="s">
        <v>144</v>
      </c>
      <c r="C14" s="22" t="n">
        <f aca="false">36/36</f>
        <v>1</v>
      </c>
      <c r="D14" s="22" t="n">
        <f aca="false">36/36</f>
        <v>1</v>
      </c>
      <c r="E14" s="22" t="n">
        <f aca="false">36/36</f>
        <v>1</v>
      </c>
      <c r="F14" s="22" t="n">
        <f aca="false">35/36</f>
        <v>0.972222222222222</v>
      </c>
      <c r="G14" s="22" t="n">
        <f aca="false">33/36</f>
        <v>0.916666666666667</v>
      </c>
      <c r="H14" s="22" t="n">
        <f aca="false">30/36</f>
        <v>0.833333333333333</v>
      </c>
      <c r="I14" s="22" t="n">
        <f aca="false">26/36</f>
        <v>0.722222222222222</v>
      </c>
      <c r="J14" s="20" t="n">
        <f aca="false">21/36</f>
        <v>0.583333333333333</v>
      </c>
      <c r="K14" s="20" t="n">
        <f aca="false">15/36</f>
        <v>0.416666666666667</v>
      </c>
    </row>
    <row r="16" customFormat="false" ht="15" hidden="false" customHeight="false" outlineLevel="0" collapsed="false">
      <c r="B16" s="24" t="s">
        <v>145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</row>
  </sheetData>
  <mergeCells count="3">
    <mergeCell ref="B2:L2"/>
    <mergeCell ref="B3:L3"/>
    <mergeCell ref="B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6"/>
    <col collapsed="false" customWidth="true" hidden="false" outlineLevel="0" max="7" min="7" style="0" width="4"/>
  </cols>
  <sheetData>
    <row r="2" customFormat="false" ht="17.35" hidden="false" customHeight="false" outlineLevel="0" collapsed="false">
      <c r="B2" s="12" t="s">
        <v>146</v>
      </c>
      <c r="C2" s="12"/>
      <c r="D2" s="12"/>
      <c r="E2" s="12"/>
      <c r="F2" s="12"/>
    </row>
    <row r="3" customFormat="false" ht="31.5" hidden="false" customHeight="true" outlineLevel="0" collapsed="false">
      <c r="B3" s="18" t="s">
        <v>147</v>
      </c>
      <c r="C3" s="18"/>
      <c r="D3" s="18"/>
      <c r="E3" s="18"/>
      <c r="F3" s="18"/>
    </row>
    <row r="5" customFormat="false" ht="19.5" hidden="false" customHeight="true" outlineLevel="0" collapsed="false">
      <c r="B5" s="3" t="s">
        <v>148</v>
      </c>
      <c r="C5" s="3" t="s">
        <v>149</v>
      </c>
      <c r="D5" s="3" t="s">
        <v>150</v>
      </c>
      <c r="E5" s="3" t="s">
        <v>151</v>
      </c>
    </row>
    <row r="6" customFormat="false" ht="19.5" hidden="false" customHeight="true" outlineLevel="0" collapsed="false">
      <c r="B6" s="5" t="s">
        <v>152</v>
      </c>
      <c r="C6" s="13" t="n">
        <v>75</v>
      </c>
      <c r="D6" s="13" t="n">
        <v>432</v>
      </c>
      <c r="E6" s="16" t="n">
        <f aca="false">75/432</f>
        <v>0.173611111111111</v>
      </c>
    </row>
    <row r="7" customFormat="false" ht="19.5" hidden="false" customHeight="true" outlineLevel="0" collapsed="false">
      <c r="B7" s="5" t="s">
        <v>153</v>
      </c>
      <c r="C7" s="13" t="n">
        <v>285</v>
      </c>
      <c r="D7" s="13" t="n">
        <v>432</v>
      </c>
      <c r="E7" s="16" t="n">
        <f aca="false">285/432</f>
        <v>0.659722222222222</v>
      </c>
    </row>
    <row r="8" customFormat="false" ht="19.5" hidden="false" customHeight="true" outlineLevel="0" collapsed="false">
      <c r="B8" s="4" t="s">
        <v>154</v>
      </c>
      <c r="C8" s="13" t="n">
        <v>360</v>
      </c>
      <c r="D8" s="13" t="n">
        <v>864</v>
      </c>
      <c r="E8" s="40" t="n">
        <f aca="false">360/864</f>
        <v>0.416666666666667</v>
      </c>
    </row>
    <row r="10" customFormat="false" ht="25.5" hidden="false" customHeight="true" outlineLevel="0" collapsed="false">
      <c r="B10" s="41" t="s">
        <v>155</v>
      </c>
      <c r="C10" s="41"/>
      <c r="D10" s="41"/>
      <c r="E10" s="41"/>
      <c r="F10" s="41"/>
    </row>
    <row r="12" customFormat="false" ht="15" hidden="false" customHeight="false" outlineLevel="0" collapsed="false">
      <c r="B12" s="6" t="s">
        <v>156</v>
      </c>
      <c r="C12" s="6"/>
      <c r="D12" s="6"/>
      <c r="E12" s="6"/>
      <c r="F12" s="6"/>
    </row>
    <row r="13" customFormat="false" ht="19.5" hidden="false" customHeight="true" outlineLevel="0" collapsed="false">
      <c r="B13" s="3" t="s">
        <v>157</v>
      </c>
      <c r="C13" s="3" t="s">
        <v>158</v>
      </c>
      <c r="D13" s="3" t="s">
        <v>159</v>
      </c>
      <c r="E13" s="3" t="s">
        <v>160</v>
      </c>
      <c r="F13" s="3" t="s">
        <v>161</v>
      </c>
    </row>
    <row r="14" customFormat="false" ht="16.5" hidden="false" customHeight="true" outlineLevel="0" collapsed="false">
      <c r="B14" s="13" t="n">
        <v>1</v>
      </c>
      <c r="C14" s="16" t="n">
        <v>0.1597</v>
      </c>
      <c r="D14" s="16" t="n">
        <v>0.0069</v>
      </c>
      <c r="E14" s="40" t="n">
        <v>1</v>
      </c>
      <c r="F14" s="40" t="n">
        <v>1</v>
      </c>
    </row>
    <row r="15" customFormat="false" ht="16.5" hidden="false" customHeight="true" outlineLevel="0" collapsed="false">
      <c r="B15" s="13" t="n">
        <v>2</v>
      </c>
      <c r="C15" s="16" t="n">
        <v>0.1458</v>
      </c>
      <c r="D15" s="16" t="n">
        <v>0.0208</v>
      </c>
      <c r="E15" s="40" t="n">
        <v>0.8403</v>
      </c>
      <c r="F15" s="40" t="n">
        <v>0.9931</v>
      </c>
    </row>
    <row r="16" customFormat="false" ht="16.5" hidden="false" customHeight="true" outlineLevel="0" collapsed="false">
      <c r="B16" s="13" t="n">
        <v>3</v>
      </c>
      <c r="C16" s="16" t="n">
        <v>0.1319</v>
      </c>
      <c r="D16" s="16" t="n">
        <v>0.0347</v>
      </c>
      <c r="E16" s="40" t="n">
        <v>0.6944</v>
      </c>
      <c r="F16" s="40" t="n">
        <v>0.9722</v>
      </c>
    </row>
    <row r="17" customFormat="false" ht="16.5" hidden="false" customHeight="true" outlineLevel="0" collapsed="false">
      <c r="B17" s="13" t="n">
        <v>4</v>
      </c>
      <c r="C17" s="16" t="n">
        <v>0.1181</v>
      </c>
      <c r="D17" s="16" t="n">
        <v>0.0486</v>
      </c>
      <c r="E17" s="40" t="n">
        <v>0.5625</v>
      </c>
      <c r="F17" s="40" t="n">
        <v>0.9375</v>
      </c>
    </row>
    <row r="18" customFormat="false" ht="16.5" hidden="false" customHeight="true" outlineLevel="0" collapsed="false">
      <c r="B18" s="13" t="n">
        <v>5</v>
      </c>
      <c r="C18" s="16" t="n">
        <v>0.1042</v>
      </c>
      <c r="D18" s="16" t="n">
        <v>0.0625</v>
      </c>
      <c r="E18" s="40" t="n">
        <v>0.4444</v>
      </c>
      <c r="F18" s="40" t="n">
        <v>0.8889</v>
      </c>
    </row>
    <row r="19" customFormat="false" ht="16.5" hidden="false" customHeight="true" outlineLevel="0" collapsed="false">
      <c r="B19" s="13" t="n">
        <v>6</v>
      </c>
      <c r="C19" s="16" t="n">
        <v>0.0903</v>
      </c>
      <c r="D19" s="16" t="n">
        <v>0.0764</v>
      </c>
      <c r="E19" s="40" t="n">
        <v>0.3403</v>
      </c>
      <c r="F19" s="40" t="n">
        <v>0.8264</v>
      </c>
    </row>
    <row r="20" customFormat="false" ht="16.5" hidden="false" customHeight="true" outlineLevel="0" collapsed="false">
      <c r="B20" s="13" t="n">
        <v>7</v>
      </c>
      <c r="C20" s="16" t="n">
        <v>0.0764</v>
      </c>
      <c r="D20" s="16" t="n">
        <v>0.0903</v>
      </c>
      <c r="E20" s="42" t="n">
        <v>0.25</v>
      </c>
      <c r="F20" s="40" t="n">
        <v>0.75</v>
      </c>
    </row>
    <row r="21" customFormat="false" ht="16.5" hidden="false" customHeight="true" outlineLevel="0" collapsed="false">
      <c r="B21" s="13" t="n">
        <v>8</v>
      </c>
      <c r="C21" s="16" t="n">
        <v>0.0625</v>
      </c>
      <c r="D21" s="16" t="n">
        <v>0.1042</v>
      </c>
      <c r="E21" s="42" t="n">
        <v>0.1736</v>
      </c>
      <c r="F21" s="40" t="n">
        <v>0.6597</v>
      </c>
    </row>
    <row r="22" customFormat="false" ht="16.5" hidden="false" customHeight="true" outlineLevel="0" collapsed="false">
      <c r="B22" s="13" t="n">
        <v>9</v>
      </c>
      <c r="C22" s="16" t="n">
        <v>0.0486</v>
      </c>
      <c r="D22" s="16" t="n">
        <v>0.1181</v>
      </c>
      <c r="E22" s="42" t="n">
        <v>0.1111</v>
      </c>
      <c r="F22" s="40" t="n">
        <v>0.5556</v>
      </c>
    </row>
    <row r="23" customFormat="false" ht="16.5" hidden="false" customHeight="true" outlineLevel="0" collapsed="false">
      <c r="B23" s="13" t="n">
        <v>10</v>
      </c>
      <c r="C23" s="16" t="n">
        <v>0.0347</v>
      </c>
      <c r="D23" s="16" t="n">
        <v>0.1319</v>
      </c>
      <c r="E23" s="42" t="n">
        <v>0.0625</v>
      </c>
      <c r="F23" s="42" t="n">
        <v>0.4375</v>
      </c>
    </row>
    <row r="24" customFormat="false" ht="16.5" hidden="false" customHeight="true" outlineLevel="0" collapsed="false">
      <c r="B24" s="13" t="n">
        <v>11</v>
      </c>
      <c r="C24" s="16" t="n">
        <v>0.0208</v>
      </c>
      <c r="D24" s="16" t="n">
        <v>0.1458</v>
      </c>
      <c r="E24" s="42" t="n">
        <v>0.0278</v>
      </c>
      <c r="F24" s="42" t="n">
        <v>0.3056</v>
      </c>
    </row>
    <row r="25" customFormat="false" ht="16.5" hidden="false" customHeight="true" outlineLevel="0" collapsed="false">
      <c r="B25" s="13" t="n">
        <v>12</v>
      </c>
      <c r="C25" s="16" t="n">
        <v>0.0069</v>
      </c>
      <c r="D25" s="16" t="n">
        <v>0.1597</v>
      </c>
      <c r="E25" s="42" t="n">
        <v>0.0069</v>
      </c>
      <c r="F25" s="42" t="n">
        <v>0.1597</v>
      </c>
    </row>
  </sheetData>
  <mergeCells count="4">
    <mergeCell ref="B2:F2"/>
    <mergeCell ref="B3:F3"/>
    <mergeCell ref="B10:F10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4"/>
    <col collapsed="false" customWidth="true" hidden="false" outlineLevel="0" max="10" min="10" style="0" width="4"/>
  </cols>
  <sheetData>
    <row r="2" customFormat="false" ht="17.35" hidden="false" customHeight="false" outlineLevel="0" collapsed="false">
      <c r="B2" s="12" t="s">
        <v>162</v>
      </c>
      <c r="C2" s="12"/>
      <c r="D2" s="12"/>
      <c r="E2" s="12"/>
      <c r="F2" s="12"/>
      <c r="G2" s="12"/>
      <c r="H2" s="12"/>
      <c r="I2" s="12"/>
    </row>
    <row r="3" customFormat="false" ht="15" hidden="false" customHeight="false" outlineLevel="0" collapsed="false">
      <c r="B3" s="18" t="s">
        <v>163</v>
      </c>
      <c r="C3" s="18"/>
      <c r="D3" s="18"/>
      <c r="E3" s="18"/>
      <c r="F3" s="18"/>
      <c r="G3" s="18"/>
      <c r="H3" s="18"/>
      <c r="I3" s="18"/>
    </row>
    <row r="5" customFormat="false" ht="15" hidden="false" customHeight="false" outlineLevel="0" collapsed="false">
      <c r="B5" s="43" t="s">
        <v>164</v>
      </c>
      <c r="C5" s="43"/>
      <c r="D5" s="43"/>
      <c r="F5" s="44" t="s">
        <v>165</v>
      </c>
      <c r="G5" s="44"/>
      <c r="H5" s="44"/>
    </row>
    <row r="6" customFormat="false" ht="18" hidden="false" customHeight="true" outlineLevel="0" collapsed="false">
      <c r="B6" s="4" t="s">
        <v>166</v>
      </c>
      <c r="C6" s="38" t="n">
        <v>3</v>
      </c>
      <c r="F6" s="4" t="s">
        <v>167</v>
      </c>
      <c r="G6" s="38" t="n">
        <v>3</v>
      </c>
    </row>
    <row r="7" customFormat="false" ht="18" hidden="false" customHeight="true" outlineLevel="0" collapsed="false">
      <c r="B7" s="4" t="s">
        <v>168</v>
      </c>
      <c r="C7" s="38" t="n">
        <v>1</v>
      </c>
      <c r="F7" s="4" t="s">
        <v>168</v>
      </c>
      <c r="G7" s="38" t="n">
        <v>0</v>
      </c>
    </row>
    <row r="8" customFormat="false" ht="18" hidden="false" customHeight="true" outlineLevel="0" collapsed="false">
      <c r="B8" s="4" t="s">
        <v>111</v>
      </c>
      <c r="C8" s="38" t="n">
        <v>6</v>
      </c>
      <c r="F8" s="4" t="s">
        <v>169</v>
      </c>
      <c r="G8" s="38" t="n">
        <v>10</v>
      </c>
    </row>
    <row r="9" customFormat="false" ht="18" hidden="false" customHeight="true" outlineLevel="0" collapsed="false">
      <c r="B9" s="4" t="s">
        <v>170</v>
      </c>
      <c r="C9" s="38" t="n">
        <v>0</v>
      </c>
      <c r="F9" s="4" t="s">
        <v>171</v>
      </c>
      <c r="G9" s="38" t="n">
        <v>2</v>
      </c>
    </row>
    <row r="10" customFormat="false" ht="18" hidden="false" customHeight="true" outlineLevel="0" collapsed="false">
      <c r="B10" s="4" t="s">
        <v>172</v>
      </c>
      <c r="C10" s="38" t="n">
        <v>1</v>
      </c>
      <c r="F10" s="4" t="s">
        <v>173</v>
      </c>
      <c r="G10" s="38" t="n">
        <v>2</v>
      </c>
    </row>
    <row r="11" customFormat="false" ht="18" hidden="false" customHeight="true" outlineLevel="0" collapsed="false">
      <c r="B11" s="4" t="s">
        <v>174</v>
      </c>
      <c r="C11" s="13" t="n">
        <f aca="false">MIN(MAX(C7,-4),4)</f>
        <v>1</v>
      </c>
      <c r="F11" s="4" t="s">
        <v>175</v>
      </c>
      <c r="G11" s="13" t="n">
        <f aca="false">MIN(MAX(G7,-4),4)</f>
        <v>0</v>
      </c>
    </row>
    <row r="13" customFormat="false" ht="21.75" hidden="false" customHeight="true" outlineLevel="0" collapsed="false">
      <c r="B13" s="6" t="s">
        <v>176</v>
      </c>
      <c r="C13" s="6"/>
      <c r="D13" s="6"/>
      <c r="E13" s="6"/>
      <c r="F13" s="6"/>
      <c r="G13" s="6"/>
      <c r="H13" s="6"/>
      <c r="I13" s="6"/>
    </row>
    <row r="14" customFormat="false" ht="19.5" hidden="false" customHeight="true" outlineLevel="0" collapsed="false">
      <c r="B14" s="4" t="s">
        <v>177</v>
      </c>
      <c r="C14" s="45" t="n">
        <f aca="true">SUMPRODUCT((ROW(INDIRECT("1:"&amp;12))+C6+C11&gt;=TRANSPOSE(ROW(INDIRECT("1:"&amp;12)))+G6+G11)*1)/144</f>
        <v>0.618055555555556</v>
      </c>
    </row>
    <row r="15" customFormat="false" ht="19.5" hidden="false" customHeight="true" outlineLevel="0" collapsed="false">
      <c r="B15" s="4" t="s">
        <v>178</v>
      </c>
      <c r="C15" s="46" t="n">
        <f aca="false">MAX(0,C8+MIN(MAX(C9,-4),4)-G9)</f>
        <v>4</v>
      </c>
    </row>
    <row r="16" customFormat="false" ht="19.5" hidden="false" customHeight="true" outlineLevel="0" collapsed="false">
      <c r="B16" s="4" t="s">
        <v>179</v>
      </c>
      <c r="C16" s="46" t="n">
        <f aca="false">MAX(0,C8-G9)</f>
        <v>4</v>
      </c>
    </row>
    <row r="17" customFormat="false" ht="19.5" hidden="false" customHeight="true" outlineLevel="0" collapsed="false">
      <c r="B17" s="4" t="s">
        <v>180</v>
      </c>
      <c r="C17" s="45" t="n">
        <f aca="true">SUMPRODUCT((ROW(INDIRECT("1:"&amp;6))+C10&gt;=TRANSPOSE(ROW(INDIRECT("1:"&amp;6)))+G10)*1)/36</f>
        <v>0.416666666666667</v>
      </c>
    </row>
    <row r="18" customFormat="false" ht="19.5" hidden="false" customHeight="true" outlineLevel="0" collapsed="false">
      <c r="B18" s="4" t="s">
        <v>181</v>
      </c>
      <c r="C18" s="47" t="n">
        <f aca="false">C14*C17</f>
        <v>0.257523148148148</v>
      </c>
    </row>
    <row r="19" customFormat="false" ht="19.5" hidden="false" customHeight="true" outlineLevel="0" collapsed="false">
      <c r="B19" s="4" t="s">
        <v>182</v>
      </c>
      <c r="C19" s="48" t="n">
        <f aca="false">IF(AND(C14&gt;0,C15&gt;0),G8/(C14*C15),"∞")</f>
        <v>4.04494382022472</v>
      </c>
    </row>
    <row r="21" customFormat="false" ht="15" hidden="false" customHeight="false" outlineLevel="0" collapsed="false">
      <c r="B21" s="23" t="s">
        <v>183</v>
      </c>
      <c r="C21" s="23"/>
      <c r="D21" s="23"/>
      <c r="E21" s="23"/>
      <c r="F21" s="23"/>
      <c r="G21" s="23"/>
      <c r="H21" s="23"/>
      <c r="I21" s="23"/>
    </row>
  </sheetData>
  <mergeCells count="6">
    <mergeCell ref="B2:I2"/>
    <mergeCell ref="B3:I3"/>
    <mergeCell ref="B5:D5"/>
    <mergeCell ref="F5:H5"/>
    <mergeCell ref="B13:I13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2026-04-15T10:17:02Z</dcterms:created>
  <dc:creator>openpyxl</dc:creator>
  <dc:description/>
  <dc:language>en-US</dc:language>
  <cp:lastModifiedBy/>
  <dcterms:modified xsi:type="dcterms:W3CDTF">2026-04-15T10:17:02Z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